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codeName="ThisWorkbook" defaultThemeVersion="166925"/>
  <xr:revisionPtr revIDLastSave="17" documentId="8_{8E242058-CD22-4C8A-B269-17D2CAB6A7A0}" xr6:coauthVersionLast="47" xr6:coauthVersionMax="47" xr10:uidLastSave="{5A4BCE1E-19F9-4CDE-ACE4-6243D1606360}"/>
  <bookViews>
    <workbookView xWindow="-108" yWindow="-108" windowWidth="23256" windowHeight="12456" xr2:uid="{B296A7AF-7D0B-4D86-A6B4-C41B71226423}"/>
  </bookViews>
  <sheets>
    <sheet name="Data" sheetId="10" r:id="rId1"/>
    <sheet name="Data_checks" sheetId="16" r:id="rId2"/>
    <sheet name="Parameters" sheetId="2" r:id="rId3"/>
    <sheet name="Calc_original" sheetId="14" r:id="rId4"/>
    <sheet name="Calc_annual_pass" sheetId="1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6" l="1"/>
  <c r="C7" i="16"/>
  <c r="C8" i="16"/>
  <c r="C9" i="16"/>
  <c r="J30" i="16" l="1"/>
  <c r="K30" i="16"/>
  <c r="I30" i="16"/>
  <c r="D58" i="14"/>
  <c r="E58" i="14"/>
  <c r="F58" i="14"/>
  <c r="G58" i="14"/>
  <c r="H58" i="14"/>
  <c r="I58" i="14"/>
  <c r="J58" i="14"/>
  <c r="K58" i="14"/>
  <c r="L58" i="14"/>
  <c r="M58" i="14"/>
  <c r="N58" i="14"/>
  <c r="D59" i="14"/>
  <c r="E59" i="14"/>
  <c r="F59" i="14"/>
  <c r="G59" i="14"/>
  <c r="H59" i="14"/>
  <c r="I59" i="14"/>
  <c r="J59" i="14"/>
  <c r="K59" i="14"/>
  <c r="L59" i="14"/>
  <c r="M59" i="14"/>
  <c r="N59" i="14"/>
  <c r="D60" i="14"/>
  <c r="E60" i="14"/>
  <c r="F60" i="14"/>
  <c r="G60" i="14"/>
  <c r="H60" i="14"/>
  <c r="I60" i="14"/>
  <c r="J60" i="14"/>
  <c r="K60" i="14"/>
  <c r="L60" i="14"/>
  <c r="M60" i="14"/>
  <c r="N60" i="14"/>
  <c r="D61" i="14"/>
  <c r="E61" i="14"/>
  <c r="F61" i="14"/>
  <c r="G61" i="14"/>
  <c r="H61" i="14"/>
  <c r="I61" i="14"/>
  <c r="J61" i="14"/>
  <c r="K61" i="14"/>
  <c r="L61" i="14"/>
  <c r="M61" i="14"/>
  <c r="N61" i="14"/>
  <c r="D62" i="14"/>
  <c r="E62" i="14"/>
  <c r="F62" i="14"/>
  <c r="G62" i="14"/>
  <c r="H62" i="14"/>
  <c r="I62" i="14"/>
  <c r="J62" i="14"/>
  <c r="K62" i="14"/>
  <c r="L62" i="14"/>
  <c r="M62" i="14"/>
  <c r="N62" i="14"/>
  <c r="D63" i="14"/>
  <c r="E63" i="14"/>
  <c r="F63" i="14"/>
  <c r="G63" i="14"/>
  <c r="H63" i="14"/>
  <c r="I63" i="14"/>
  <c r="J63" i="14"/>
  <c r="K63" i="14"/>
  <c r="L63" i="14"/>
  <c r="M63" i="14"/>
  <c r="N63" i="14"/>
  <c r="D64" i="14"/>
  <c r="E64" i="14"/>
  <c r="F64" i="14"/>
  <c r="G64" i="14"/>
  <c r="H64" i="14"/>
  <c r="I64" i="14"/>
  <c r="J64" i="14"/>
  <c r="K64" i="14"/>
  <c r="L64" i="14"/>
  <c r="M64" i="14"/>
  <c r="N64" i="14"/>
  <c r="D65" i="14"/>
  <c r="E65" i="14"/>
  <c r="F65" i="14"/>
  <c r="G65" i="14"/>
  <c r="H65" i="14"/>
  <c r="I65" i="14"/>
  <c r="J65" i="14"/>
  <c r="K65" i="14"/>
  <c r="L65" i="14"/>
  <c r="M65" i="14"/>
  <c r="N65" i="14"/>
  <c r="D66" i="14"/>
  <c r="E66" i="14"/>
  <c r="F66" i="14"/>
  <c r="G66" i="14"/>
  <c r="H66" i="14"/>
  <c r="I66" i="14"/>
  <c r="J66" i="14"/>
  <c r="K66" i="14"/>
  <c r="L66" i="14"/>
  <c r="M66" i="14"/>
  <c r="N66" i="14"/>
  <c r="D67" i="14"/>
  <c r="E67" i="14"/>
  <c r="F67" i="14"/>
  <c r="G67" i="14"/>
  <c r="H67" i="14"/>
  <c r="I67" i="14"/>
  <c r="J67" i="14"/>
  <c r="K67" i="14"/>
  <c r="L67" i="14"/>
  <c r="M67" i="14"/>
  <c r="N67" i="14"/>
  <c r="D68" i="14"/>
  <c r="E68" i="14"/>
  <c r="F68" i="14"/>
  <c r="G68" i="14"/>
  <c r="H68" i="14"/>
  <c r="I68" i="14"/>
  <c r="J68" i="14"/>
  <c r="K68" i="14"/>
  <c r="L68" i="14"/>
  <c r="M68" i="14"/>
  <c r="N68" i="14"/>
  <c r="D69" i="14"/>
  <c r="E69" i="14"/>
  <c r="F69" i="14"/>
  <c r="G69" i="14"/>
  <c r="H69" i="14"/>
  <c r="I69" i="14"/>
  <c r="J69" i="14"/>
  <c r="K69" i="14"/>
  <c r="L69" i="14"/>
  <c r="M69" i="14"/>
  <c r="N69" i="14"/>
  <c r="D70" i="14"/>
  <c r="E70" i="14"/>
  <c r="F70" i="14"/>
  <c r="G70" i="14"/>
  <c r="H70" i="14"/>
  <c r="I70" i="14"/>
  <c r="J70" i="14"/>
  <c r="K70" i="14"/>
  <c r="L70" i="14"/>
  <c r="M70" i="14"/>
  <c r="N70" i="14"/>
  <c r="D71" i="14"/>
  <c r="E71" i="14"/>
  <c r="F71" i="14"/>
  <c r="G71" i="14"/>
  <c r="H71" i="14"/>
  <c r="I71" i="14"/>
  <c r="J71" i="14"/>
  <c r="K71" i="14"/>
  <c r="L71" i="14"/>
  <c r="M71" i="14"/>
  <c r="N71" i="14"/>
  <c r="C59" i="14"/>
  <c r="C60" i="14"/>
  <c r="C61" i="14"/>
  <c r="C62" i="14"/>
  <c r="C63" i="14"/>
  <c r="C64" i="14"/>
  <c r="C65" i="14"/>
  <c r="C66" i="14"/>
  <c r="C67" i="14"/>
  <c r="C68" i="14"/>
  <c r="C69" i="14"/>
  <c r="C70" i="14"/>
  <c r="C71" i="14"/>
  <c r="C58" i="14"/>
  <c r="D58" i="19"/>
  <c r="E58" i="19"/>
  <c r="F58" i="19"/>
  <c r="G58" i="19"/>
  <c r="H58" i="19"/>
  <c r="I58" i="19"/>
  <c r="J58" i="19"/>
  <c r="K58" i="19"/>
  <c r="L58" i="19"/>
  <c r="M58" i="19"/>
  <c r="N58" i="19"/>
  <c r="D59" i="19"/>
  <c r="E59" i="19"/>
  <c r="F59" i="19"/>
  <c r="G59" i="19"/>
  <c r="H59" i="19"/>
  <c r="I59" i="19"/>
  <c r="J59" i="19"/>
  <c r="K59" i="19"/>
  <c r="L59" i="19"/>
  <c r="M59" i="19"/>
  <c r="N59" i="19"/>
  <c r="D60" i="19"/>
  <c r="E60" i="19"/>
  <c r="F60" i="19"/>
  <c r="G60" i="19"/>
  <c r="H60" i="19"/>
  <c r="I60" i="19"/>
  <c r="J60" i="19"/>
  <c r="K60" i="19"/>
  <c r="L60" i="19"/>
  <c r="M60" i="19"/>
  <c r="N60" i="19"/>
  <c r="D61" i="19"/>
  <c r="E61" i="19"/>
  <c r="F61" i="19"/>
  <c r="G61" i="19"/>
  <c r="H61" i="19"/>
  <c r="I61" i="19"/>
  <c r="J61" i="19"/>
  <c r="K61" i="19"/>
  <c r="L61" i="19"/>
  <c r="M61" i="19"/>
  <c r="N61" i="19"/>
  <c r="C59" i="19"/>
  <c r="C60" i="19"/>
  <c r="C61" i="19"/>
  <c r="C58" i="19"/>
  <c r="B71" i="19"/>
  <c r="B70" i="19"/>
  <c r="B69" i="19"/>
  <c r="B68" i="19"/>
  <c r="B67" i="19"/>
  <c r="B66" i="19"/>
  <c r="B65" i="19"/>
  <c r="B64" i="19"/>
  <c r="B63" i="19"/>
  <c r="B62" i="19"/>
  <c r="B61" i="19"/>
  <c r="B60" i="19"/>
  <c r="B59" i="19"/>
  <c r="B58" i="19"/>
  <c r="B59" i="14"/>
  <c r="B60" i="14"/>
  <c r="B61" i="14"/>
  <c r="B62" i="14"/>
  <c r="B63" i="14"/>
  <c r="B64" i="14"/>
  <c r="B65" i="14"/>
  <c r="B66" i="14"/>
  <c r="B67" i="14"/>
  <c r="B68" i="14"/>
  <c r="B69" i="14"/>
  <c r="B70" i="14"/>
  <c r="B71" i="14"/>
  <c r="B58" i="14"/>
  <c r="G72" i="14" l="1"/>
  <c r="F72" i="14"/>
  <c r="L72" i="14"/>
  <c r="K72" i="14"/>
  <c r="M72" i="14"/>
  <c r="J72" i="14"/>
  <c r="N72" i="14"/>
  <c r="I72" i="14"/>
  <c r="E72" i="14"/>
  <c r="D72" i="14"/>
  <c r="H72" i="14"/>
  <c r="C72" i="14"/>
  <c r="B10" i="19"/>
  <c r="B104" i="19" s="1"/>
  <c r="B9" i="19"/>
  <c r="B103" i="19" s="1"/>
  <c r="B8" i="19"/>
  <c r="B102" i="19" s="1"/>
  <c r="B7" i="19"/>
  <c r="B101" i="19" s="1"/>
  <c r="B8" i="14"/>
  <c r="B95" i="14" s="1"/>
  <c r="B9" i="14"/>
  <c r="B96" i="14" s="1"/>
  <c r="B10" i="14"/>
  <c r="B97" i="14" s="1"/>
  <c r="B7" i="14"/>
  <c r="B94" i="14" s="1"/>
  <c r="B5" i="16"/>
  <c r="B94" i="19" l="1"/>
  <c r="B97" i="19"/>
  <c r="B96" i="19"/>
  <c r="B95" i="19"/>
  <c r="B101" i="14"/>
  <c r="B102" i="14"/>
  <c r="B104" i="14"/>
  <c r="B103" i="14"/>
  <c r="N115" i="19"/>
  <c r="M115" i="19"/>
  <c r="L115" i="19"/>
  <c r="K115" i="19"/>
  <c r="J115" i="19"/>
  <c r="I115" i="19"/>
  <c r="H115" i="19"/>
  <c r="G115" i="19"/>
  <c r="F115" i="19"/>
  <c r="E115" i="19"/>
  <c r="D115" i="19"/>
  <c r="C115" i="19"/>
  <c r="N115" i="14"/>
  <c r="M115" i="14"/>
  <c r="L115" i="14"/>
  <c r="K115" i="14"/>
  <c r="J115" i="14"/>
  <c r="I115" i="14"/>
  <c r="H115" i="14"/>
  <c r="G115" i="14"/>
  <c r="F115" i="14"/>
  <c r="E115" i="14"/>
  <c r="D115" i="14"/>
  <c r="C115" i="14"/>
  <c r="N114" i="19"/>
  <c r="M114" i="19"/>
  <c r="L114" i="19"/>
  <c r="K114" i="19"/>
  <c r="J114" i="19"/>
  <c r="I114" i="19"/>
  <c r="H114" i="19"/>
  <c r="G114" i="19"/>
  <c r="F114" i="19"/>
  <c r="E114" i="19"/>
  <c r="D114" i="19"/>
  <c r="C114" i="19"/>
  <c r="B49" i="19"/>
  <c r="B48" i="19"/>
  <c r="B47" i="19"/>
  <c r="B46" i="19"/>
  <c r="B45" i="19"/>
  <c r="B44" i="19"/>
  <c r="B43" i="19"/>
  <c r="B42" i="19"/>
  <c r="B41" i="19"/>
  <c r="B40" i="19"/>
  <c r="B39" i="19"/>
  <c r="B38" i="19"/>
  <c r="B37" i="19"/>
  <c r="B36" i="19"/>
  <c r="B17" i="19"/>
  <c r="B24" i="19" s="1"/>
  <c r="B31" i="19" s="1"/>
  <c r="B16" i="19"/>
  <c r="B23" i="19" s="1"/>
  <c r="B30" i="19" s="1"/>
  <c r="B15" i="19"/>
  <c r="B22" i="19" s="1"/>
  <c r="B29" i="19" s="1"/>
  <c r="B14" i="19"/>
  <c r="B21" i="19" s="1"/>
  <c r="B28" i="19" s="1"/>
  <c r="N13" i="19"/>
  <c r="N20" i="19" s="1"/>
  <c r="M13" i="19"/>
  <c r="M20" i="19" s="1"/>
  <c r="L13" i="19"/>
  <c r="L20" i="19" s="1"/>
  <c r="K13" i="19"/>
  <c r="K20" i="19" s="1"/>
  <c r="J13" i="19"/>
  <c r="J20" i="19" s="1"/>
  <c r="I13" i="19"/>
  <c r="I20" i="19" s="1"/>
  <c r="H13" i="19"/>
  <c r="H20" i="19" s="1"/>
  <c r="G13" i="19"/>
  <c r="G20" i="19" s="1"/>
  <c r="F13" i="19"/>
  <c r="F20" i="19" s="1"/>
  <c r="E13" i="19"/>
  <c r="E20" i="19" s="1"/>
  <c r="D13" i="19"/>
  <c r="D20" i="19" s="1"/>
  <c r="C13" i="19"/>
  <c r="C20" i="19" s="1"/>
  <c r="N10" i="19"/>
  <c r="M10" i="19"/>
  <c r="L10" i="19"/>
  <c r="K10" i="19"/>
  <c r="J10" i="19"/>
  <c r="I10" i="19"/>
  <c r="H10" i="19"/>
  <c r="G10" i="19"/>
  <c r="F10" i="19"/>
  <c r="E10" i="19"/>
  <c r="D10" i="19"/>
  <c r="C10" i="19"/>
  <c r="C24" i="19" s="1"/>
  <c r="N9" i="19"/>
  <c r="M9" i="19"/>
  <c r="J9" i="19"/>
  <c r="H9" i="19"/>
  <c r="G9" i="19"/>
  <c r="F9" i="19"/>
  <c r="E9" i="19"/>
  <c r="D9" i="19"/>
  <c r="C9" i="19"/>
  <c r="C23" i="19" s="1"/>
  <c r="M8" i="19"/>
  <c r="G8" i="19"/>
  <c r="D8" i="19"/>
  <c r="N7" i="19"/>
  <c r="K7" i="19"/>
  <c r="H7" i="19"/>
  <c r="E7" i="19"/>
  <c r="N10" i="14"/>
  <c r="M10" i="14"/>
  <c r="L10" i="14"/>
  <c r="K10" i="14"/>
  <c r="J10" i="14"/>
  <c r="I10" i="14"/>
  <c r="H10" i="14"/>
  <c r="G10" i="14"/>
  <c r="F10" i="14"/>
  <c r="E10" i="14"/>
  <c r="D10" i="14"/>
  <c r="C10" i="14"/>
  <c r="C24" i="14" s="1"/>
  <c r="N9" i="14"/>
  <c r="M9" i="14"/>
  <c r="J9" i="14"/>
  <c r="H9" i="14"/>
  <c r="G9" i="14"/>
  <c r="F9" i="14"/>
  <c r="E9" i="14"/>
  <c r="D9" i="14"/>
  <c r="C9" i="14"/>
  <c r="M8" i="14"/>
  <c r="G8" i="14"/>
  <c r="D8" i="14"/>
  <c r="N7" i="14"/>
  <c r="K7" i="14"/>
  <c r="H7" i="14"/>
  <c r="E7" i="14"/>
  <c r="B80" i="19" l="1"/>
  <c r="B81" i="19"/>
  <c r="B85" i="19"/>
  <c r="B86" i="19"/>
  <c r="B82" i="19"/>
  <c r="B83" i="19"/>
  <c r="B87" i="19"/>
  <c r="B84" i="19"/>
  <c r="B88" i="19"/>
  <c r="B77" i="19"/>
  <c r="B89" i="19"/>
  <c r="B78" i="19"/>
  <c r="B79" i="19"/>
  <c r="C97" i="14"/>
  <c r="B76" i="19"/>
  <c r="C96" i="14"/>
  <c r="C23" i="14"/>
  <c r="C31" i="19"/>
  <c r="C97" i="19"/>
  <c r="O114" i="19"/>
  <c r="C27" i="19" a="1"/>
  <c r="C96" i="19"/>
  <c r="C30" i="19"/>
  <c r="C104" i="19" l="1"/>
  <c r="C103" i="19"/>
  <c r="E35" i="19"/>
  <c r="E54" i="19" s="1"/>
  <c r="C27" i="19"/>
  <c r="C35" i="19" s="1"/>
  <c r="C54" i="19" s="1"/>
  <c r="I35" i="19"/>
  <c r="I54" i="19" s="1"/>
  <c r="H35" i="19"/>
  <c r="H54" i="19" s="1"/>
  <c r="G35" i="19"/>
  <c r="G54" i="19" s="1"/>
  <c r="F35" i="19"/>
  <c r="F54" i="19" s="1"/>
  <c r="D35" i="19"/>
  <c r="D54" i="19" s="1"/>
  <c r="K35" i="19"/>
  <c r="K54" i="19" s="1"/>
  <c r="J35" i="19"/>
  <c r="J54" i="19" s="1"/>
  <c r="L35" i="19"/>
  <c r="L54" i="19" s="1"/>
  <c r="M35" i="19"/>
  <c r="M54" i="19" s="1"/>
  <c r="N35" i="19"/>
  <c r="N54" i="19" s="1"/>
  <c r="E75" i="19" l="1"/>
  <c r="N75" i="19"/>
  <c r="C75" i="19"/>
  <c r="C93" i="19" s="1"/>
  <c r="C100" i="19" s="1"/>
  <c r="C108" i="19" s="1"/>
  <c r="M75" i="19"/>
  <c r="L75" i="19"/>
  <c r="J75" i="19"/>
  <c r="K75" i="19"/>
  <c r="G75" i="19"/>
  <c r="D75" i="19"/>
  <c r="F75" i="19"/>
  <c r="F93" i="19" s="1"/>
  <c r="F100" i="19" s="1"/>
  <c r="F108" i="19" s="1"/>
  <c r="H75" i="19"/>
  <c r="I75" i="19"/>
  <c r="O115" i="19"/>
  <c r="K93" i="19" l="1"/>
  <c r="K100" i="19" s="1"/>
  <c r="K108" i="19" s="1"/>
  <c r="E93" i="19"/>
  <c r="E100" i="19" s="1"/>
  <c r="E108" i="19" s="1"/>
  <c r="I93" i="19"/>
  <c r="I100" i="19" s="1"/>
  <c r="I108" i="19" s="1"/>
  <c r="H93" i="19"/>
  <c r="H100" i="19" s="1"/>
  <c r="H108" i="19" s="1"/>
  <c r="G93" i="19"/>
  <c r="G100" i="19" s="1"/>
  <c r="G108" i="19" s="1"/>
  <c r="D93" i="19"/>
  <c r="D100" i="19" s="1"/>
  <c r="D108" i="19" s="1"/>
  <c r="J93" i="19"/>
  <c r="J100" i="19" s="1"/>
  <c r="J108" i="19" s="1"/>
  <c r="M93" i="19"/>
  <c r="M100" i="19" s="1"/>
  <c r="M108" i="19" s="1"/>
  <c r="L93" i="19"/>
  <c r="L100" i="19" s="1"/>
  <c r="L108" i="19" s="1"/>
  <c r="N93" i="19"/>
  <c r="N100" i="19" s="1"/>
  <c r="N108" i="19" s="1"/>
  <c r="C114" i="14" l="1"/>
  <c r="N114" i="14"/>
  <c r="M114" i="14"/>
  <c r="L114" i="14"/>
  <c r="K114" i="14"/>
  <c r="J114" i="14"/>
  <c r="I114" i="14"/>
  <c r="H114" i="14"/>
  <c r="G114" i="14"/>
  <c r="F114" i="14"/>
  <c r="E114" i="14"/>
  <c r="D114" i="14"/>
  <c r="N13" i="14"/>
  <c r="N20" i="14" s="1"/>
  <c r="M13" i="14"/>
  <c r="M20" i="14" s="1"/>
  <c r="L13" i="14"/>
  <c r="L20" i="14" s="1"/>
  <c r="K13" i="14"/>
  <c r="K20" i="14" s="1"/>
  <c r="J13" i="14"/>
  <c r="J20" i="14" s="1"/>
  <c r="I13" i="14"/>
  <c r="I20" i="14" s="1"/>
  <c r="H13" i="14"/>
  <c r="H20" i="14" s="1"/>
  <c r="G13" i="14"/>
  <c r="G20" i="14" s="1"/>
  <c r="F13" i="14"/>
  <c r="F20" i="14" s="1"/>
  <c r="E13" i="14"/>
  <c r="E20" i="14" s="1"/>
  <c r="D13" i="14"/>
  <c r="D20" i="14" s="1"/>
  <c r="C13" i="14"/>
  <c r="C20" i="14" s="1"/>
  <c r="O114" i="14" l="1"/>
  <c r="K34" i="16"/>
  <c r="J34" i="16"/>
  <c r="I34" i="16"/>
  <c r="E34" i="16"/>
  <c r="D34" i="16"/>
  <c r="C34" i="16"/>
  <c r="K33" i="16"/>
  <c r="J33" i="16"/>
  <c r="I33" i="16"/>
  <c r="E33" i="16"/>
  <c r="D33" i="16"/>
  <c r="C33" i="16"/>
  <c r="K32" i="16"/>
  <c r="J32" i="16"/>
  <c r="I32" i="16"/>
  <c r="E32" i="16"/>
  <c r="D32" i="16"/>
  <c r="C32" i="16"/>
  <c r="K31" i="16"/>
  <c r="J31" i="16"/>
  <c r="I31" i="16"/>
  <c r="E31" i="16"/>
  <c r="D31" i="16"/>
  <c r="C31" i="16"/>
  <c r="E30" i="16"/>
  <c r="D30" i="16"/>
  <c r="C30" i="16"/>
  <c r="H29" i="16"/>
  <c r="B29" i="16"/>
  <c r="C5" i="16"/>
  <c r="D5" i="16"/>
  <c r="E5" i="16"/>
  <c r="F5" i="16"/>
  <c r="G5" i="16"/>
  <c r="H5" i="16"/>
  <c r="I5" i="16"/>
  <c r="J5" i="16"/>
  <c r="K5" i="16"/>
  <c r="L5" i="16"/>
  <c r="M5" i="16"/>
  <c r="N5" i="16"/>
  <c r="O5" i="16"/>
  <c r="D6" i="16"/>
  <c r="E6" i="16"/>
  <c r="F6" i="16"/>
  <c r="G6" i="16"/>
  <c r="H6" i="16"/>
  <c r="I6" i="16"/>
  <c r="J6" i="16"/>
  <c r="K6" i="16"/>
  <c r="L6" i="16"/>
  <c r="M6" i="16"/>
  <c r="N6" i="16"/>
  <c r="O6" i="16"/>
  <c r="D7" i="16"/>
  <c r="E7" i="16"/>
  <c r="F7" i="16"/>
  <c r="G7" i="16"/>
  <c r="H7" i="16"/>
  <c r="I7" i="16"/>
  <c r="J7" i="16"/>
  <c r="K7" i="16"/>
  <c r="L7" i="16"/>
  <c r="M7" i="16"/>
  <c r="N7" i="16"/>
  <c r="O7" i="16"/>
  <c r="D8" i="16"/>
  <c r="E8" i="16"/>
  <c r="F8" i="16"/>
  <c r="G8" i="16"/>
  <c r="H8" i="16"/>
  <c r="I8" i="16"/>
  <c r="J8" i="16"/>
  <c r="K8" i="16"/>
  <c r="L8" i="16"/>
  <c r="M8" i="16"/>
  <c r="N8" i="16"/>
  <c r="O8" i="16"/>
  <c r="D9" i="16"/>
  <c r="E9" i="16"/>
  <c r="F9" i="16"/>
  <c r="G9" i="16"/>
  <c r="H9" i="16"/>
  <c r="I9" i="16"/>
  <c r="J9" i="16"/>
  <c r="K9" i="16"/>
  <c r="L9" i="16"/>
  <c r="M9" i="16"/>
  <c r="N9" i="16"/>
  <c r="O9" i="16"/>
  <c r="B6" i="16"/>
  <c r="B7" i="16"/>
  <c r="B8" i="16"/>
  <c r="B9" i="16"/>
  <c r="B4" i="16"/>
  <c r="B44" i="16"/>
  <c r="D44" i="16"/>
  <c r="B45" i="16"/>
  <c r="C45" i="16"/>
  <c r="B46" i="16"/>
  <c r="C46" i="16"/>
  <c r="B47" i="16"/>
  <c r="C47" i="16"/>
  <c r="D47" i="16"/>
  <c r="B48" i="16"/>
  <c r="C48" i="16"/>
  <c r="D48" i="16"/>
  <c r="B49" i="16"/>
  <c r="C49" i="16"/>
  <c r="D49" i="16"/>
  <c r="B50" i="16"/>
  <c r="C50" i="16"/>
  <c r="D50" i="16"/>
  <c r="B51" i="16"/>
  <c r="C51" i="16"/>
  <c r="D51" i="16"/>
  <c r="B52" i="16"/>
  <c r="C52" i="16"/>
  <c r="D52" i="16"/>
  <c r="B53" i="16"/>
  <c r="C53" i="16"/>
  <c r="D53" i="16"/>
  <c r="B54" i="16"/>
  <c r="C54" i="16"/>
  <c r="D54" i="16"/>
  <c r="B55" i="16"/>
  <c r="C55" i="16"/>
  <c r="D55" i="16"/>
  <c r="B56" i="16"/>
  <c r="C56" i="16"/>
  <c r="D56" i="16"/>
  <c r="B57" i="16"/>
  <c r="C57" i="16"/>
  <c r="D57" i="16"/>
  <c r="C43" i="16"/>
  <c r="D43" i="16"/>
  <c r="B43" i="16"/>
  <c r="B37" i="14"/>
  <c r="B77" i="14" s="1"/>
  <c r="B38" i="14"/>
  <c r="B78" i="14" s="1"/>
  <c r="B39" i="14"/>
  <c r="B79" i="14" s="1"/>
  <c r="B40" i="14"/>
  <c r="B80" i="14" s="1"/>
  <c r="B41" i="14"/>
  <c r="B81" i="14" s="1"/>
  <c r="B42" i="14"/>
  <c r="B82" i="14" s="1"/>
  <c r="B43" i="14"/>
  <c r="B83" i="14" s="1"/>
  <c r="B44" i="14"/>
  <c r="B84" i="14" s="1"/>
  <c r="B45" i="14"/>
  <c r="B85" i="14" s="1"/>
  <c r="B46" i="14"/>
  <c r="B86" i="14" s="1"/>
  <c r="B47" i="14"/>
  <c r="B87" i="14" s="1"/>
  <c r="B48" i="14"/>
  <c r="B88" i="14" s="1"/>
  <c r="B49" i="14"/>
  <c r="B89" i="14" s="1"/>
  <c r="B36" i="14"/>
  <c r="N8" i="14" l="1"/>
  <c r="N8" i="19"/>
  <c r="M7" i="14"/>
  <c r="M7" i="19"/>
  <c r="L8" i="19"/>
  <c r="L8" i="14"/>
  <c r="M15" i="14" s="1"/>
  <c r="M22" i="14" s="1"/>
  <c r="L7" i="14"/>
  <c r="L7" i="19"/>
  <c r="L9" i="19"/>
  <c r="L9" i="14"/>
  <c r="K9" i="14"/>
  <c r="K9" i="19"/>
  <c r="K8" i="19"/>
  <c r="K8" i="14"/>
  <c r="J8" i="19"/>
  <c r="J8" i="14"/>
  <c r="J15" i="14" s="1"/>
  <c r="J22" i="14" s="1"/>
  <c r="J7" i="19"/>
  <c r="J7" i="14"/>
  <c r="I9" i="19"/>
  <c r="I9" i="14"/>
  <c r="L16" i="14" s="1"/>
  <c r="L23" i="14" s="1"/>
  <c r="I8" i="19"/>
  <c r="I8" i="14"/>
  <c r="I15" i="14" s="1"/>
  <c r="I22" i="14" s="1"/>
  <c r="I7" i="19"/>
  <c r="I7" i="14"/>
  <c r="H8" i="14"/>
  <c r="H8" i="19"/>
  <c r="G7" i="14"/>
  <c r="G7" i="19"/>
  <c r="F8" i="14"/>
  <c r="F8" i="19"/>
  <c r="F7" i="14"/>
  <c r="F7" i="19"/>
  <c r="E8" i="14"/>
  <c r="H16" i="14" s="1"/>
  <c r="H23" i="14" s="1"/>
  <c r="E8" i="19"/>
  <c r="D7" i="14"/>
  <c r="G16" i="14" s="1"/>
  <c r="G23" i="14" s="1"/>
  <c r="D7" i="19"/>
  <c r="C8" i="14"/>
  <c r="C8" i="19"/>
  <c r="C7" i="19"/>
  <c r="C7" i="14"/>
  <c r="B76" i="14"/>
  <c r="C13" i="16"/>
  <c r="B14" i="14"/>
  <c r="B21" i="14" s="1"/>
  <c r="B17" i="14"/>
  <c r="B24" i="14" s="1"/>
  <c r="B15" i="14"/>
  <c r="B22" i="14" s="1"/>
  <c r="B16" i="14"/>
  <c r="B23" i="14" s="1"/>
  <c r="H14" i="14"/>
  <c r="H21" i="14" s="1"/>
  <c r="E55" i="16"/>
  <c r="G15" i="14"/>
  <c r="G22" i="14" s="1"/>
  <c r="H15" i="14"/>
  <c r="H22" i="14" s="1"/>
  <c r="I17" i="14"/>
  <c r="I24" i="14" s="1"/>
  <c r="G14" i="14"/>
  <c r="G21" i="14" s="1"/>
  <c r="H17" i="14"/>
  <c r="H24" i="14" s="1"/>
  <c r="I14" i="14"/>
  <c r="I21" i="14" s="1"/>
  <c r="J14" i="14"/>
  <c r="J21" i="14" s="1"/>
  <c r="C25" i="16"/>
  <c r="E48" i="16"/>
  <c r="E53" i="16"/>
  <c r="C14" i="16"/>
  <c r="C24" i="16"/>
  <c r="E50" i="16"/>
  <c r="E56" i="16"/>
  <c r="E49" i="16"/>
  <c r="E47" i="16"/>
  <c r="E52" i="16"/>
  <c r="C26" i="16"/>
  <c r="E51" i="16"/>
  <c r="C23" i="16"/>
  <c r="C22" i="16"/>
  <c r="C21" i="16"/>
  <c r="C20" i="16"/>
  <c r="C19" i="16"/>
  <c r="C18" i="16"/>
  <c r="C17" i="16"/>
  <c r="C16" i="16"/>
  <c r="C15" i="16"/>
  <c r="E45" i="16"/>
  <c r="E57" i="16"/>
  <c r="E54" i="16"/>
  <c r="E46" i="16"/>
  <c r="C27" i="14" a="1"/>
  <c r="N16" i="14" l="1"/>
  <c r="N23" i="14" s="1"/>
  <c r="M17" i="14"/>
  <c r="M24" i="14" s="1"/>
  <c r="N15" i="14"/>
  <c r="N22" i="14" s="1"/>
  <c r="N17" i="14"/>
  <c r="N24" i="14" s="1"/>
  <c r="N14" i="14"/>
  <c r="N21" i="14" s="1"/>
  <c r="M16" i="14"/>
  <c r="M23" i="14" s="1"/>
  <c r="M14" i="14"/>
  <c r="M21" i="14" s="1"/>
  <c r="K16" i="14"/>
  <c r="K23" i="14" s="1"/>
  <c r="N15" i="19"/>
  <c r="N17" i="19"/>
  <c r="N14" i="19"/>
  <c r="N16" i="19"/>
  <c r="M14" i="19"/>
  <c r="M15" i="19"/>
  <c r="M17" i="19"/>
  <c r="M16" i="19"/>
  <c r="J16" i="14"/>
  <c r="J23" i="14" s="1"/>
  <c r="I16" i="14"/>
  <c r="I23" i="14" s="1"/>
  <c r="L14" i="14"/>
  <c r="L21" i="14" s="1"/>
  <c r="L15" i="14"/>
  <c r="L22" i="14" s="1"/>
  <c r="L17" i="14"/>
  <c r="L24" i="14" s="1"/>
  <c r="K14" i="14"/>
  <c r="K21" i="14" s="1"/>
  <c r="J17" i="14"/>
  <c r="J24" i="14" s="1"/>
  <c r="K15" i="14"/>
  <c r="K22" i="14" s="1"/>
  <c r="K17" i="14"/>
  <c r="K24" i="14" s="1"/>
  <c r="L17" i="19"/>
  <c r="L16" i="19"/>
  <c r="L14" i="19"/>
  <c r="L15" i="19"/>
  <c r="K15" i="19"/>
  <c r="K14" i="19"/>
  <c r="K17" i="19"/>
  <c r="K16" i="19"/>
  <c r="J17" i="19"/>
  <c r="J16" i="19"/>
  <c r="J14" i="19"/>
  <c r="J15" i="19"/>
  <c r="I15" i="19"/>
  <c r="I14" i="19"/>
  <c r="I17" i="19"/>
  <c r="I16" i="19"/>
  <c r="G17" i="14"/>
  <c r="G24" i="14" s="1"/>
  <c r="F15" i="14"/>
  <c r="F22" i="14" s="1"/>
  <c r="E17" i="14"/>
  <c r="E24" i="14" s="1"/>
  <c r="E16" i="14"/>
  <c r="E23" i="14" s="1"/>
  <c r="D17" i="14"/>
  <c r="D24" i="14" s="1"/>
  <c r="F16" i="14"/>
  <c r="F23" i="14" s="1"/>
  <c r="E14" i="14"/>
  <c r="E21" i="14" s="1"/>
  <c r="D16" i="14"/>
  <c r="D23" i="14" s="1"/>
  <c r="E15" i="14"/>
  <c r="E22" i="14" s="1"/>
  <c r="F14" i="14"/>
  <c r="F21" i="14" s="1"/>
  <c r="F17" i="14"/>
  <c r="F24" i="14" s="1"/>
  <c r="D15" i="14"/>
  <c r="D22" i="14" s="1"/>
  <c r="D14" i="14"/>
  <c r="D21" i="14" s="1"/>
  <c r="H16" i="19"/>
  <c r="H17" i="19"/>
  <c r="H14" i="19"/>
  <c r="H15" i="19"/>
  <c r="G14" i="19"/>
  <c r="G15" i="19"/>
  <c r="G17" i="19"/>
  <c r="G16" i="19"/>
  <c r="C22" i="19"/>
  <c r="C29" i="19" s="1"/>
  <c r="C95" i="19"/>
  <c r="C95" i="14"/>
  <c r="C22" i="14"/>
  <c r="C21" i="14"/>
  <c r="C94" i="14"/>
  <c r="C21" i="19"/>
  <c r="C28" i="19" s="1"/>
  <c r="D15" i="19"/>
  <c r="C94" i="19"/>
  <c r="E15" i="19"/>
  <c r="D16" i="19"/>
  <c r="D14" i="19"/>
  <c r="F14" i="19"/>
  <c r="E17" i="19"/>
  <c r="E16" i="19"/>
  <c r="F15" i="19"/>
  <c r="D17" i="19"/>
  <c r="F17" i="19"/>
  <c r="F16" i="19"/>
  <c r="E14" i="19"/>
  <c r="M96" i="14"/>
  <c r="G94" i="14"/>
  <c r="M95" i="14"/>
  <c r="G97" i="14"/>
  <c r="I97" i="14"/>
  <c r="F95" i="14"/>
  <c r="E94" i="14"/>
  <c r="H97" i="14"/>
  <c r="J96" i="14"/>
  <c r="D97" i="14"/>
  <c r="I95" i="14"/>
  <c r="H96" i="14"/>
  <c r="H95" i="14"/>
  <c r="M97" i="14"/>
  <c r="I94" i="14"/>
  <c r="N97" i="14"/>
  <c r="E97" i="14"/>
  <c r="G95" i="14"/>
  <c r="E96" i="14"/>
  <c r="J95" i="14"/>
  <c r="L96" i="14"/>
  <c r="J97" i="14"/>
  <c r="J94" i="14"/>
  <c r="K96" i="14"/>
  <c r="K97" i="14"/>
  <c r="D95" i="14"/>
  <c r="G96" i="14"/>
  <c r="H94" i="14"/>
  <c r="O115" i="14"/>
  <c r="C27" i="16"/>
  <c r="D27" i="16" s="1"/>
  <c r="B30" i="14"/>
  <c r="B31" i="14"/>
  <c r="B29" i="14"/>
  <c r="B28" i="14"/>
  <c r="N35" i="14"/>
  <c r="N54" i="14" s="1"/>
  <c r="M35" i="14"/>
  <c r="M54" i="14" s="1"/>
  <c r="E35" i="14"/>
  <c r="E54" i="14" s="1"/>
  <c r="D35" i="14"/>
  <c r="D54" i="14" s="1"/>
  <c r="C27" i="14"/>
  <c r="L35" i="14"/>
  <c r="L54" i="14" s="1"/>
  <c r="K35" i="14"/>
  <c r="K54" i="14" s="1"/>
  <c r="J35" i="14"/>
  <c r="J54" i="14" s="1"/>
  <c r="F35" i="14"/>
  <c r="F54" i="14" s="1"/>
  <c r="I35" i="14"/>
  <c r="I54" i="14" s="1"/>
  <c r="H35" i="14"/>
  <c r="H54" i="14" s="1"/>
  <c r="G35" i="14"/>
  <c r="G54" i="14" s="1"/>
  <c r="N95" i="14" l="1"/>
  <c r="M94" i="14"/>
  <c r="N96" i="14"/>
  <c r="N94" i="14"/>
  <c r="L97" i="14"/>
  <c r="L94" i="14"/>
  <c r="N23" i="19"/>
  <c r="N30" i="19" s="1"/>
  <c r="N96" i="19"/>
  <c r="N21" i="19"/>
  <c r="N28" i="19" s="1"/>
  <c r="N94" i="19"/>
  <c r="N24" i="19"/>
  <c r="N31" i="19" s="1"/>
  <c r="N97" i="19"/>
  <c r="N22" i="19"/>
  <c r="N29" i="19" s="1"/>
  <c r="N95" i="19"/>
  <c r="K95" i="14"/>
  <c r="L95" i="14"/>
  <c r="M96" i="19"/>
  <c r="M23" i="19"/>
  <c r="M30" i="19" s="1"/>
  <c r="M24" i="19"/>
  <c r="M31" i="19" s="1"/>
  <c r="M97" i="19"/>
  <c r="M22" i="19"/>
  <c r="M29" i="19" s="1"/>
  <c r="M95" i="19"/>
  <c r="K29" i="14"/>
  <c r="K94" i="14"/>
  <c r="M94" i="19"/>
  <c r="M21" i="19"/>
  <c r="M28" i="19" s="1"/>
  <c r="I96" i="14"/>
  <c r="L22" i="19"/>
  <c r="L29" i="19" s="1"/>
  <c r="L95" i="19"/>
  <c r="L94" i="19"/>
  <c r="L21" i="19"/>
  <c r="L28" i="19" s="1"/>
  <c r="L23" i="19"/>
  <c r="L30" i="19" s="1"/>
  <c r="L96" i="19"/>
  <c r="L24" i="19"/>
  <c r="L31" i="19" s="1"/>
  <c r="L97" i="19"/>
  <c r="K96" i="19"/>
  <c r="K23" i="19"/>
  <c r="K30" i="19" s="1"/>
  <c r="K21" i="19"/>
  <c r="K28" i="19" s="1"/>
  <c r="K94" i="19"/>
  <c r="K97" i="19"/>
  <c r="K24" i="19"/>
  <c r="K31" i="19" s="1"/>
  <c r="K22" i="19"/>
  <c r="K29" i="19" s="1"/>
  <c r="K95" i="19"/>
  <c r="J95" i="19"/>
  <c r="J22" i="19"/>
  <c r="J29" i="19" s="1"/>
  <c r="J21" i="19"/>
  <c r="J28" i="19" s="1"/>
  <c r="J94" i="19"/>
  <c r="J23" i="19"/>
  <c r="J30" i="19" s="1"/>
  <c r="J96" i="19"/>
  <c r="J24" i="19"/>
  <c r="J31" i="19" s="1"/>
  <c r="J97" i="19"/>
  <c r="I23" i="19"/>
  <c r="I30" i="19" s="1"/>
  <c r="I96" i="19"/>
  <c r="I24" i="19"/>
  <c r="I31" i="19" s="1"/>
  <c r="I97" i="19"/>
  <c r="I21" i="19"/>
  <c r="I28" i="19" s="1"/>
  <c r="I94" i="19"/>
  <c r="I22" i="19"/>
  <c r="I29" i="19" s="1"/>
  <c r="I95" i="19"/>
  <c r="F96" i="14"/>
  <c r="F31" i="14"/>
  <c r="F97" i="14"/>
  <c r="C32" i="19"/>
  <c r="D94" i="14"/>
  <c r="F28" i="14"/>
  <c r="C101" i="19"/>
  <c r="E95" i="14"/>
  <c r="F94" i="14"/>
  <c r="D96" i="14"/>
  <c r="H22" i="19"/>
  <c r="H29" i="19" s="1"/>
  <c r="H95" i="19"/>
  <c r="H94" i="19"/>
  <c r="H21" i="19"/>
  <c r="H28" i="19" s="1"/>
  <c r="H24" i="19"/>
  <c r="H31" i="19" s="1"/>
  <c r="H97" i="19"/>
  <c r="H23" i="19"/>
  <c r="H30" i="19" s="1"/>
  <c r="H96" i="19"/>
  <c r="G23" i="19"/>
  <c r="G30" i="19" s="1"/>
  <c r="G96" i="19"/>
  <c r="G24" i="19"/>
  <c r="G31" i="19" s="1"/>
  <c r="G97" i="19"/>
  <c r="G22" i="19"/>
  <c r="G29" i="19" s="1"/>
  <c r="G95" i="19"/>
  <c r="G21" i="19"/>
  <c r="G28" i="19" s="1"/>
  <c r="G94" i="19"/>
  <c r="C102" i="19"/>
  <c r="E24" i="19"/>
  <c r="E31" i="19" s="1"/>
  <c r="E97" i="19"/>
  <c r="F21" i="19"/>
  <c r="F28" i="19" s="1"/>
  <c r="F94" i="19"/>
  <c r="D94" i="19"/>
  <c r="D21" i="19"/>
  <c r="D28" i="19" s="1"/>
  <c r="F22" i="19"/>
  <c r="F29" i="19" s="1"/>
  <c r="F95" i="19"/>
  <c r="D23" i="19"/>
  <c r="D30" i="19" s="1"/>
  <c r="D96" i="19"/>
  <c r="E22" i="19"/>
  <c r="E29" i="19" s="1"/>
  <c r="E95" i="19"/>
  <c r="E23" i="19"/>
  <c r="E30" i="19" s="1"/>
  <c r="E96" i="19"/>
  <c r="E21" i="19"/>
  <c r="E28" i="19" s="1"/>
  <c r="E94" i="19"/>
  <c r="D22" i="19"/>
  <c r="D29" i="19" s="1"/>
  <c r="D95" i="19"/>
  <c r="F23" i="19"/>
  <c r="F30" i="19" s="1"/>
  <c r="F96" i="19"/>
  <c r="F24" i="19"/>
  <c r="F31" i="19" s="1"/>
  <c r="F97" i="19"/>
  <c r="D24" i="19"/>
  <c r="D31" i="19" s="1"/>
  <c r="D97" i="19"/>
  <c r="N29" i="14"/>
  <c r="D29" i="14"/>
  <c r="J75" i="14"/>
  <c r="H75" i="14"/>
  <c r="G75" i="14"/>
  <c r="D75" i="14"/>
  <c r="F75" i="14"/>
  <c r="F93" i="14" s="1"/>
  <c r="F100" i="14" s="1"/>
  <c r="F108" i="14" s="1"/>
  <c r="K75" i="14"/>
  <c r="K93" i="14" s="1"/>
  <c r="K100" i="14" s="1"/>
  <c r="K108" i="14" s="1"/>
  <c r="M75" i="14"/>
  <c r="M93" i="14" s="1"/>
  <c r="M100" i="14" s="1"/>
  <c r="M108" i="14" s="1"/>
  <c r="N75" i="14"/>
  <c r="N93" i="14" s="1"/>
  <c r="N100" i="14" s="1"/>
  <c r="N108" i="14" s="1"/>
  <c r="E75" i="14"/>
  <c r="E93" i="14" s="1"/>
  <c r="E100" i="14" s="1"/>
  <c r="E108" i="14" s="1"/>
  <c r="I75" i="14"/>
  <c r="I93" i="14" s="1"/>
  <c r="I100" i="14" s="1"/>
  <c r="I108" i="14" s="1"/>
  <c r="L75" i="14"/>
  <c r="J31" i="14"/>
  <c r="J104" i="14" s="1"/>
  <c r="G29" i="14"/>
  <c r="G102" i="14" s="1"/>
  <c r="F29" i="14"/>
  <c r="I31" i="14"/>
  <c r="E29" i="14"/>
  <c r="N31" i="14"/>
  <c r="G31" i="14"/>
  <c r="H31" i="14"/>
  <c r="H104" i="14" s="1"/>
  <c r="M29" i="14"/>
  <c r="M102" i="14" s="1"/>
  <c r="J28" i="14"/>
  <c r="J101" i="14" s="1"/>
  <c r="I28" i="14"/>
  <c r="H28" i="14"/>
  <c r="G28" i="14"/>
  <c r="E28" i="14"/>
  <c r="M28" i="14"/>
  <c r="L28" i="14"/>
  <c r="N28" i="14"/>
  <c r="N101" i="14" s="1"/>
  <c r="K28" i="14"/>
  <c r="C28" i="14"/>
  <c r="L30" i="14"/>
  <c r="N30" i="14"/>
  <c r="F30" i="14"/>
  <c r="K31" i="14"/>
  <c r="E31" i="14"/>
  <c r="E104" i="14" s="1"/>
  <c r="D31" i="14"/>
  <c r="L31" i="14"/>
  <c r="C31" i="14"/>
  <c r="C104" i="14" s="1"/>
  <c r="J29" i="14"/>
  <c r="J102" i="14" s="1"/>
  <c r="M31" i="14"/>
  <c r="M104" i="14" s="1"/>
  <c r="L29" i="14"/>
  <c r="D28" i="14"/>
  <c r="I29" i="14"/>
  <c r="I102" i="14" s="1"/>
  <c r="H29" i="14"/>
  <c r="C29" i="14"/>
  <c r="D30" i="14"/>
  <c r="K30" i="14"/>
  <c r="G30" i="14"/>
  <c r="G103" i="14" s="1"/>
  <c r="J30" i="14"/>
  <c r="J103" i="14" s="1"/>
  <c r="I30" i="14"/>
  <c r="I103" i="14" s="1"/>
  <c r="H30" i="14"/>
  <c r="H103" i="14" s="1"/>
  <c r="C30" i="14"/>
  <c r="C103" i="14" s="1"/>
  <c r="E30" i="14"/>
  <c r="M30" i="14"/>
  <c r="M103" i="14" s="1"/>
  <c r="J93" i="14"/>
  <c r="J100" i="14" s="1"/>
  <c r="J108" i="14" s="1"/>
  <c r="L93" i="14"/>
  <c r="L100" i="14" s="1"/>
  <c r="L108" i="14" s="1"/>
  <c r="D93" i="14"/>
  <c r="D100" i="14" s="1"/>
  <c r="D108" i="14" s="1"/>
  <c r="G93" i="14"/>
  <c r="G100" i="14" s="1"/>
  <c r="G108" i="14" s="1"/>
  <c r="H93" i="14"/>
  <c r="H100" i="14" s="1"/>
  <c r="H108" i="14" s="1"/>
  <c r="C35" i="14"/>
  <c r="C54" i="14" s="1"/>
  <c r="E102" i="14" l="1"/>
  <c r="J102" i="19"/>
  <c r="F103" i="14"/>
  <c r="L102" i="14"/>
  <c r="N102" i="19"/>
  <c r="N104" i="19"/>
  <c r="M102" i="19"/>
  <c r="N101" i="19"/>
  <c r="N32" i="19"/>
  <c r="N103" i="19"/>
  <c r="M103" i="19"/>
  <c r="M101" i="19"/>
  <c r="M32" i="19"/>
  <c r="M104" i="19"/>
  <c r="L102" i="19"/>
  <c r="J101" i="19"/>
  <c r="L104" i="19"/>
  <c r="L103" i="19"/>
  <c r="L32" i="19"/>
  <c r="L101" i="19"/>
  <c r="K102" i="19"/>
  <c r="K104" i="19"/>
  <c r="K101" i="19"/>
  <c r="K32" i="19"/>
  <c r="K103" i="19"/>
  <c r="J104" i="19"/>
  <c r="J103" i="19"/>
  <c r="J32" i="19"/>
  <c r="I103" i="19"/>
  <c r="I102" i="19"/>
  <c r="I101" i="19"/>
  <c r="I32" i="19"/>
  <c r="I104" i="19"/>
  <c r="H102" i="19"/>
  <c r="C105" i="19"/>
  <c r="C112" i="19" s="1"/>
  <c r="D102" i="19"/>
  <c r="D104" i="19"/>
  <c r="G103" i="19"/>
  <c r="H103" i="19"/>
  <c r="H104" i="19"/>
  <c r="H101" i="19"/>
  <c r="H32" i="19"/>
  <c r="G32" i="19"/>
  <c r="G104" i="19"/>
  <c r="F103" i="19"/>
  <c r="G101" i="19"/>
  <c r="G102" i="19"/>
  <c r="F102" i="19"/>
  <c r="E104" i="19"/>
  <c r="E102" i="19"/>
  <c r="D103" i="19"/>
  <c r="D32" i="19"/>
  <c r="D101" i="19"/>
  <c r="E101" i="19"/>
  <c r="F101" i="19"/>
  <c r="E32" i="19"/>
  <c r="F32" i="19"/>
  <c r="E103" i="19"/>
  <c r="F104" i="19"/>
  <c r="C75" i="14"/>
  <c r="C93" i="14" s="1"/>
  <c r="C100" i="14" s="1"/>
  <c r="C108" i="14" s="1"/>
  <c r="C101" i="14"/>
  <c r="H101" i="14"/>
  <c r="N103" i="14"/>
  <c r="C102" i="14"/>
  <c r="E103" i="14"/>
  <c r="E101" i="14"/>
  <c r="D101" i="14"/>
  <c r="D103" i="14"/>
  <c r="H102" i="14"/>
  <c r="F101" i="14"/>
  <c r="K103" i="14"/>
  <c r="G101" i="14"/>
  <c r="L103" i="14"/>
  <c r="G104" i="14"/>
  <c r="M101" i="14"/>
  <c r="M105" i="14" s="1"/>
  <c r="M112" i="14" s="1"/>
  <c r="I32" i="14"/>
  <c r="H32" i="14"/>
  <c r="G32" i="14"/>
  <c r="N102" i="14"/>
  <c r="F102" i="14"/>
  <c r="E32" i="14"/>
  <c r="D102" i="14"/>
  <c r="I101" i="14"/>
  <c r="D32" i="14"/>
  <c r="K101" i="14"/>
  <c r="K32" i="14"/>
  <c r="K102" i="14"/>
  <c r="F32" i="14"/>
  <c r="N32" i="14"/>
  <c r="F104" i="14"/>
  <c r="L104" i="14"/>
  <c r="K104" i="14"/>
  <c r="I104" i="14"/>
  <c r="N104" i="14"/>
  <c r="M32" i="14"/>
  <c r="C32" i="14"/>
  <c r="D104" i="14"/>
  <c r="J32" i="14"/>
  <c r="J105" i="14"/>
  <c r="J112" i="14" s="1"/>
  <c r="L105" i="19" l="1"/>
  <c r="L112" i="19" s="1"/>
  <c r="N105" i="19"/>
  <c r="N112" i="19" s="1"/>
  <c r="M105" i="19"/>
  <c r="M112" i="19" s="1"/>
  <c r="J105" i="19"/>
  <c r="J112" i="19" s="1"/>
  <c r="K105" i="19"/>
  <c r="K112" i="19" s="1"/>
  <c r="H105" i="19"/>
  <c r="H112" i="19" s="1"/>
  <c r="I105" i="19"/>
  <c r="I112" i="19" s="1"/>
  <c r="O32" i="19"/>
  <c r="F105" i="19"/>
  <c r="F112" i="19" s="1"/>
  <c r="G105" i="19"/>
  <c r="G112" i="19" s="1"/>
  <c r="E105" i="19"/>
  <c r="E112" i="19" s="1"/>
  <c r="D105" i="19"/>
  <c r="D112" i="19" s="1"/>
  <c r="E105" i="14"/>
  <c r="E112" i="14" s="1"/>
  <c r="H105" i="14"/>
  <c r="H112" i="14" s="1"/>
  <c r="C105" i="14"/>
  <c r="C112" i="14" s="1"/>
  <c r="L101" i="14"/>
  <c r="L105" i="14" s="1"/>
  <c r="L112" i="14" s="1"/>
  <c r="L32" i="14"/>
  <c r="D105" i="14"/>
  <c r="D112" i="14" s="1"/>
  <c r="G105" i="14"/>
  <c r="G112" i="14" s="1"/>
  <c r="I105" i="14"/>
  <c r="I112" i="14" s="1"/>
  <c r="N105" i="14"/>
  <c r="N112" i="14" s="1"/>
  <c r="K105" i="14"/>
  <c r="K112" i="14" s="1"/>
  <c r="F105" i="14"/>
  <c r="F112" i="14" s="1"/>
  <c r="O112" i="19" l="1"/>
  <c r="O32" i="14"/>
  <c r="O112" i="14"/>
  <c r="D23" i="10"/>
  <c r="D22" i="10"/>
  <c r="D45" i="16" l="1"/>
  <c r="C44" i="16"/>
  <c r="D46" i="16"/>
  <c r="E44" i="16" l="1"/>
  <c r="C58" i="16"/>
  <c r="E58" i="16" l="1"/>
  <c r="P32" i="14" s="1"/>
  <c r="F50" i="16" l="1"/>
  <c r="F54" i="16"/>
  <c r="F46" i="16"/>
  <c r="F51" i="16"/>
  <c r="F55" i="16"/>
  <c r="F56" i="16"/>
  <c r="F45" i="16"/>
  <c r="F52" i="16"/>
  <c r="F53" i="16"/>
  <c r="F57" i="16"/>
  <c r="F47" i="16"/>
  <c r="F48" i="16"/>
  <c r="F49" i="16"/>
  <c r="P32" i="19"/>
  <c r="F44" i="16"/>
  <c r="G110" i="14"/>
  <c r="H110" i="14"/>
  <c r="I110" i="14"/>
  <c r="J110" i="14"/>
  <c r="L110" i="14"/>
  <c r="D110" i="14"/>
  <c r="K110" i="14"/>
  <c r="M110" i="14"/>
  <c r="N110" i="14"/>
  <c r="E110" i="14"/>
  <c r="C110" i="14"/>
  <c r="F110" i="14"/>
  <c r="C39" i="19" l="1"/>
  <c r="C79" i="19" s="1"/>
  <c r="K39" i="19"/>
  <c r="K79" i="19" s="1"/>
  <c r="D39" i="19"/>
  <c r="D79" i="19" s="1"/>
  <c r="F39" i="19"/>
  <c r="F79" i="19" s="1"/>
  <c r="I39" i="19"/>
  <c r="I79" i="19" s="1"/>
  <c r="M39" i="19"/>
  <c r="M79" i="19" s="1"/>
  <c r="J39" i="19"/>
  <c r="J79" i="19" s="1"/>
  <c r="N39" i="19"/>
  <c r="N79" i="19" s="1"/>
  <c r="L39" i="19"/>
  <c r="L79" i="19" s="1"/>
  <c r="E39" i="19"/>
  <c r="E79" i="19" s="1"/>
  <c r="G39" i="19"/>
  <c r="G79" i="19" s="1"/>
  <c r="H39" i="19"/>
  <c r="H79" i="19" s="1"/>
  <c r="E39" i="14"/>
  <c r="E79" i="14" s="1"/>
  <c r="H39" i="14"/>
  <c r="H79" i="14" s="1"/>
  <c r="G39" i="14"/>
  <c r="G79" i="14" s="1"/>
  <c r="F39" i="14"/>
  <c r="F79" i="14" s="1"/>
  <c r="D39" i="14"/>
  <c r="D79" i="14" s="1"/>
  <c r="M39" i="14"/>
  <c r="M79" i="14" s="1"/>
  <c r="C39" i="14"/>
  <c r="C79" i="14" s="1"/>
  <c r="L39" i="14"/>
  <c r="L79" i="14" s="1"/>
  <c r="K39" i="14"/>
  <c r="K79" i="14" s="1"/>
  <c r="J39" i="14"/>
  <c r="J79" i="14" s="1"/>
  <c r="N39" i="14"/>
  <c r="N79" i="14" s="1"/>
  <c r="I39" i="14"/>
  <c r="I79" i="14" s="1"/>
  <c r="C49" i="19"/>
  <c r="L49" i="19"/>
  <c r="K49" i="19"/>
  <c r="E49" i="19"/>
  <c r="D49" i="19"/>
  <c r="G49" i="19"/>
  <c r="I49" i="19"/>
  <c r="N49" i="19"/>
  <c r="H49" i="19"/>
  <c r="F49" i="19"/>
  <c r="J49" i="19"/>
  <c r="M49" i="19"/>
  <c r="D49" i="14"/>
  <c r="D89" i="14" s="1"/>
  <c r="E49" i="14"/>
  <c r="E89" i="14" s="1"/>
  <c r="C49" i="14"/>
  <c r="C89" i="14" s="1"/>
  <c r="N49" i="14"/>
  <c r="N89" i="14" s="1"/>
  <c r="H49" i="14"/>
  <c r="H89" i="14" s="1"/>
  <c r="K49" i="14"/>
  <c r="K89" i="14" s="1"/>
  <c r="M49" i="14"/>
  <c r="M89" i="14" s="1"/>
  <c r="L49" i="14"/>
  <c r="L89" i="14" s="1"/>
  <c r="I49" i="14"/>
  <c r="I89" i="14" s="1"/>
  <c r="G49" i="14"/>
  <c r="G89" i="14" s="1"/>
  <c r="J49" i="14"/>
  <c r="J89" i="14" s="1"/>
  <c r="F49" i="14"/>
  <c r="F89" i="14" s="1"/>
  <c r="C48" i="19"/>
  <c r="D48" i="19"/>
  <c r="N48" i="19"/>
  <c r="K48" i="19"/>
  <c r="H48" i="19"/>
  <c r="F48" i="19"/>
  <c r="E48" i="19"/>
  <c r="M48" i="19"/>
  <c r="L48" i="19"/>
  <c r="J48" i="19"/>
  <c r="I48" i="19"/>
  <c r="G48" i="19"/>
  <c r="K48" i="14"/>
  <c r="K88" i="14" s="1"/>
  <c r="I48" i="14"/>
  <c r="I88" i="14" s="1"/>
  <c r="H48" i="14"/>
  <c r="H88" i="14" s="1"/>
  <c r="N48" i="14"/>
  <c r="N88" i="14" s="1"/>
  <c r="J48" i="14"/>
  <c r="J88" i="14" s="1"/>
  <c r="G48" i="14"/>
  <c r="G88" i="14" s="1"/>
  <c r="E48" i="14"/>
  <c r="E88" i="14" s="1"/>
  <c r="C48" i="14"/>
  <c r="C88" i="14" s="1"/>
  <c r="D48" i="14"/>
  <c r="D88" i="14" s="1"/>
  <c r="L48" i="14"/>
  <c r="L88" i="14" s="1"/>
  <c r="F48" i="14"/>
  <c r="F88" i="14" s="1"/>
  <c r="M48" i="14"/>
  <c r="M88" i="14" s="1"/>
  <c r="C37" i="19"/>
  <c r="C77" i="19" s="1"/>
  <c r="H37" i="19"/>
  <c r="H77" i="19" s="1"/>
  <c r="F37" i="19"/>
  <c r="F77" i="19" s="1"/>
  <c r="D37" i="19"/>
  <c r="D77" i="19" s="1"/>
  <c r="I37" i="19"/>
  <c r="I77" i="19" s="1"/>
  <c r="E37" i="19"/>
  <c r="E77" i="19" s="1"/>
  <c r="L37" i="19"/>
  <c r="L77" i="19" s="1"/>
  <c r="M37" i="19"/>
  <c r="M77" i="19" s="1"/>
  <c r="G37" i="19"/>
  <c r="G77" i="19" s="1"/>
  <c r="K37" i="19"/>
  <c r="K77" i="19" s="1"/>
  <c r="N37" i="19"/>
  <c r="N77" i="19" s="1"/>
  <c r="J37" i="19"/>
  <c r="J77" i="19" s="1"/>
  <c r="C37" i="14"/>
  <c r="C77" i="14" s="1"/>
  <c r="J37" i="14"/>
  <c r="J77" i="14" s="1"/>
  <c r="H37" i="14"/>
  <c r="H77" i="14" s="1"/>
  <c r="I37" i="14"/>
  <c r="I77" i="14" s="1"/>
  <c r="G37" i="14"/>
  <c r="G77" i="14" s="1"/>
  <c r="F37" i="14"/>
  <c r="F77" i="14" s="1"/>
  <c r="D37" i="14"/>
  <c r="D77" i="14" s="1"/>
  <c r="E37" i="14"/>
  <c r="E77" i="14" s="1"/>
  <c r="M37" i="14"/>
  <c r="M77" i="14" s="1"/>
  <c r="N37" i="14"/>
  <c r="N77" i="14" s="1"/>
  <c r="K37" i="14"/>
  <c r="K77" i="14" s="1"/>
  <c r="L37" i="14"/>
  <c r="L77" i="14" s="1"/>
  <c r="C47" i="19"/>
  <c r="E47" i="19"/>
  <c r="J47" i="19"/>
  <c r="K47" i="19"/>
  <c r="I47" i="19"/>
  <c r="F47" i="19"/>
  <c r="H47" i="19"/>
  <c r="L47" i="19"/>
  <c r="D47" i="19"/>
  <c r="N47" i="19"/>
  <c r="G47" i="19"/>
  <c r="M47" i="19"/>
  <c r="H47" i="14"/>
  <c r="H87" i="14" s="1"/>
  <c r="F47" i="14"/>
  <c r="F87" i="14" s="1"/>
  <c r="C47" i="14"/>
  <c r="C87" i="14" s="1"/>
  <c r="N47" i="14"/>
  <c r="N87" i="14" s="1"/>
  <c r="G47" i="14"/>
  <c r="G87" i="14" s="1"/>
  <c r="K47" i="14"/>
  <c r="K87" i="14" s="1"/>
  <c r="E47" i="14"/>
  <c r="E87" i="14" s="1"/>
  <c r="D47" i="14"/>
  <c r="D87" i="14" s="1"/>
  <c r="M47" i="14"/>
  <c r="M87" i="14" s="1"/>
  <c r="L47" i="14"/>
  <c r="L87" i="14" s="1"/>
  <c r="I47" i="14"/>
  <c r="I87" i="14" s="1"/>
  <c r="J47" i="14"/>
  <c r="J87" i="14" s="1"/>
  <c r="C43" i="19"/>
  <c r="J43" i="19"/>
  <c r="H43" i="19"/>
  <c r="K43" i="19"/>
  <c r="G43" i="19"/>
  <c r="L43" i="19"/>
  <c r="D43" i="19"/>
  <c r="F43" i="19"/>
  <c r="E43" i="19"/>
  <c r="N43" i="19"/>
  <c r="M43" i="19"/>
  <c r="I43" i="19"/>
  <c r="K43" i="14"/>
  <c r="K83" i="14" s="1"/>
  <c r="G43" i="14"/>
  <c r="G83" i="14" s="1"/>
  <c r="J43" i="14"/>
  <c r="J83" i="14" s="1"/>
  <c r="I43" i="14"/>
  <c r="I83" i="14" s="1"/>
  <c r="H43" i="14"/>
  <c r="H83" i="14" s="1"/>
  <c r="D43" i="14"/>
  <c r="D83" i="14" s="1"/>
  <c r="E43" i="14"/>
  <c r="E83" i="14" s="1"/>
  <c r="N43" i="14"/>
  <c r="N83" i="14" s="1"/>
  <c r="F43" i="14"/>
  <c r="F83" i="14" s="1"/>
  <c r="C43" i="14"/>
  <c r="C83" i="14" s="1"/>
  <c r="L43" i="14"/>
  <c r="L83" i="14" s="1"/>
  <c r="M43" i="14"/>
  <c r="M83" i="14" s="1"/>
  <c r="C44" i="19"/>
  <c r="M44" i="19"/>
  <c r="G44" i="19"/>
  <c r="I44" i="19"/>
  <c r="L44" i="19"/>
  <c r="E44" i="19"/>
  <c r="K44" i="19"/>
  <c r="N44" i="19"/>
  <c r="D44" i="19"/>
  <c r="H44" i="19"/>
  <c r="J44" i="19"/>
  <c r="F44" i="19"/>
  <c r="D44" i="14"/>
  <c r="D84" i="14" s="1"/>
  <c r="I44" i="14"/>
  <c r="I84" i="14" s="1"/>
  <c r="H44" i="14"/>
  <c r="H84" i="14" s="1"/>
  <c r="C44" i="14"/>
  <c r="C84" i="14" s="1"/>
  <c r="N44" i="14"/>
  <c r="N84" i="14" s="1"/>
  <c r="J44" i="14"/>
  <c r="J84" i="14" s="1"/>
  <c r="G44" i="14"/>
  <c r="G84" i="14" s="1"/>
  <c r="K44" i="14"/>
  <c r="K84" i="14" s="1"/>
  <c r="M44" i="14"/>
  <c r="M84" i="14" s="1"/>
  <c r="L44" i="14"/>
  <c r="L84" i="14" s="1"/>
  <c r="F44" i="14"/>
  <c r="F84" i="14" s="1"/>
  <c r="E44" i="14"/>
  <c r="E84" i="14" s="1"/>
  <c r="C36" i="19"/>
  <c r="C36" i="14"/>
  <c r="I36" i="19"/>
  <c r="N36" i="19"/>
  <c r="K36" i="19"/>
  <c r="J36" i="19"/>
  <c r="H36" i="19"/>
  <c r="L36" i="19"/>
  <c r="E36" i="19"/>
  <c r="F36" i="19"/>
  <c r="M36" i="19"/>
  <c r="G36" i="19"/>
  <c r="D36" i="19"/>
  <c r="N36" i="14"/>
  <c r="M36" i="14"/>
  <c r="I36" i="14"/>
  <c r="G36" i="14"/>
  <c r="D36" i="14"/>
  <c r="H36" i="14"/>
  <c r="L36" i="14"/>
  <c r="K36" i="14"/>
  <c r="J36" i="14"/>
  <c r="F36" i="14"/>
  <c r="E36" i="14"/>
  <c r="C38" i="19"/>
  <c r="C78" i="19" s="1"/>
  <c r="G38" i="19"/>
  <c r="G78" i="19" s="1"/>
  <c r="E38" i="19"/>
  <c r="E78" i="19" s="1"/>
  <c r="M38" i="19"/>
  <c r="M78" i="19" s="1"/>
  <c r="H38" i="19"/>
  <c r="H78" i="19" s="1"/>
  <c r="K38" i="19"/>
  <c r="K78" i="19" s="1"/>
  <c r="F38" i="19"/>
  <c r="F78" i="19" s="1"/>
  <c r="D38" i="19"/>
  <c r="D78" i="19" s="1"/>
  <c r="N38" i="19"/>
  <c r="N78" i="19" s="1"/>
  <c r="J38" i="19"/>
  <c r="J78" i="19" s="1"/>
  <c r="L38" i="19"/>
  <c r="L78" i="19" s="1"/>
  <c r="I38" i="19"/>
  <c r="I78" i="19" s="1"/>
  <c r="K38" i="14"/>
  <c r="K78" i="14" s="1"/>
  <c r="J38" i="14"/>
  <c r="J78" i="14" s="1"/>
  <c r="F38" i="14"/>
  <c r="F78" i="14" s="1"/>
  <c r="I38" i="14"/>
  <c r="I78" i="14" s="1"/>
  <c r="E38" i="14"/>
  <c r="E78" i="14" s="1"/>
  <c r="N38" i="14"/>
  <c r="N78" i="14" s="1"/>
  <c r="H38" i="14"/>
  <c r="H78" i="14" s="1"/>
  <c r="D38" i="14"/>
  <c r="D78" i="14" s="1"/>
  <c r="L38" i="14"/>
  <c r="L78" i="14" s="1"/>
  <c r="G38" i="14"/>
  <c r="G78" i="14" s="1"/>
  <c r="C38" i="14"/>
  <c r="C78" i="14" s="1"/>
  <c r="M38" i="14"/>
  <c r="M78" i="14" s="1"/>
  <c r="C46" i="19"/>
  <c r="M46" i="19"/>
  <c r="G46" i="19"/>
  <c r="E46" i="19"/>
  <c r="H46" i="19"/>
  <c r="N46" i="19"/>
  <c r="I46" i="19"/>
  <c r="F46" i="19"/>
  <c r="D46" i="19"/>
  <c r="K46" i="19"/>
  <c r="J46" i="19"/>
  <c r="L46" i="19"/>
  <c r="M46" i="14"/>
  <c r="M86" i="14" s="1"/>
  <c r="J46" i="14"/>
  <c r="J86" i="14" s="1"/>
  <c r="D46" i="14"/>
  <c r="D86" i="14" s="1"/>
  <c r="L46" i="14"/>
  <c r="L86" i="14" s="1"/>
  <c r="K46" i="14"/>
  <c r="K86" i="14" s="1"/>
  <c r="H46" i="14"/>
  <c r="H86" i="14" s="1"/>
  <c r="F46" i="14"/>
  <c r="F86" i="14" s="1"/>
  <c r="I46" i="14"/>
  <c r="I86" i="14" s="1"/>
  <c r="G46" i="14"/>
  <c r="G86" i="14" s="1"/>
  <c r="C46" i="14"/>
  <c r="C86" i="14" s="1"/>
  <c r="E46" i="14"/>
  <c r="E86" i="14" s="1"/>
  <c r="N46" i="14"/>
  <c r="N86" i="14" s="1"/>
  <c r="C41" i="19"/>
  <c r="M41" i="19"/>
  <c r="J41" i="19"/>
  <c r="D41" i="19"/>
  <c r="N41" i="19"/>
  <c r="F41" i="19"/>
  <c r="I41" i="19"/>
  <c r="G41" i="19"/>
  <c r="K41" i="19"/>
  <c r="H41" i="19"/>
  <c r="L41" i="19"/>
  <c r="E41" i="19"/>
  <c r="M41" i="14"/>
  <c r="M81" i="14" s="1"/>
  <c r="E41" i="14"/>
  <c r="E81" i="14" s="1"/>
  <c r="L41" i="14"/>
  <c r="L81" i="14" s="1"/>
  <c r="J41" i="14"/>
  <c r="J81" i="14" s="1"/>
  <c r="K41" i="14"/>
  <c r="K81" i="14" s="1"/>
  <c r="G41" i="14"/>
  <c r="G81" i="14" s="1"/>
  <c r="F41" i="14"/>
  <c r="F81" i="14" s="1"/>
  <c r="I41" i="14"/>
  <c r="I81" i="14" s="1"/>
  <c r="C41" i="14"/>
  <c r="C81" i="14" s="1"/>
  <c r="H41" i="14"/>
  <c r="H81" i="14" s="1"/>
  <c r="D41" i="14"/>
  <c r="D81" i="14" s="1"/>
  <c r="N41" i="14"/>
  <c r="N81" i="14" s="1"/>
  <c r="C42" i="19"/>
  <c r="F42" i="19"/>
  <c r="E42" i="19"/>
  <c r="D42" i="19"/>
  <c r="M42" i="19"/>
  <c r="J42" i="19"/>
  <c r="L42" i="19"/>
  <c r="G42" i="19"/>
  <c r="H42" i="19"/>
  <c r="K42" i="19"/>
  <c r="I42" i="19"/>
  <c r="N42" i="19"/>
  <c r="I42" i="14"/>
  <c r="I82" i="14" s="1"/>
  <c r="E42" i="14"/>
  <c r="E82" i="14" s="1"/>
  <c r="D42" i="14"/>
  <c r="D82" i="14" s="1"/>
  <c r="N42" i="14"/>
  <c r="N82" i="14" s="1"/>
  <c r="H42" i="14"/>
  <c r="H82" i="14" s="1"/>
  <c r="G42" i="14"/>
  <c r="G82" i="14" s="1"/>
  <c r="F42" i="14"/>
  <c r="F82" i="14" s="1"/>
  <c r="C42" i="14"/>
  <c r="C82" i="14" s="1"/>
  <c r="L42" i="14"/>
  <c r="L82" i="14" s="1"/>
  <c r="M42" i="14"/>
  <c r="M82" i="14" s="1"/>
  <c r="K42" i="14"/>
  <c r="K82" i="14" s="1"/>
  <c r="J42" i="14"/>
  <c r="J82" i="14" s="1"/>
  <c r="C45" i="19"/>
  <c r="N45" i="19"/>
  <c r="E45" i="19"/>
  <c r="J45" i="19"/>
  <c r="F45" i="19"/>
  <c r="M45" i="19"/>
  <c r="K45" i="19"/>
  <c r="D45" i="19"/>
  <c r="H45" i="19"/>
  <c r="L45" i="19"/>
  <c r="I45" i="19"/>
  <c r="G45" i="19"/>
  <c r="K45" i="14"/>
  <c r="K85" i="14" s="1"/>
  <c r="J45" i="14"/>
  <c r="J85" i="14" s="1"/>
  <c r="N45" i="14"/>
  <c r="N85" i="14" s="1"/>
  <c r="H45" i="14"/>
  <c r="H85" i="14" s="1"/>
  <c r="I45" i="14"/>
  <c r="I85" i="14" s="1"/>
  <c r="G45" i="14"/>
  <c r="G85" i="14" s="1"/>
  <c r="F45" i="14"/>
  <c r="F85" i="14" s="1"/>
  <c r="L45" i="14"/>
  <c r="L85" i="14" s="1"/>
  <c r="E45" i="14"/>
  <c r="E85" i="14" s="1"/>
  <c r="D45" i="14"/>
  <c r="D85" i="14" s="1"/>
  <c r="C45" i="14"/>
  <c r="C85" i="14" s="1"/>
  <c r="M45" i="14"/>
  <c r="M85" i="14" s="1"/>
  <c r="C40" i="19"/>
  <c r="E40" i="19"/>
  <c r="G40" i="19"/>
  <c r="J40" i="19"/>
  <c r="F40" i="19"/>
  <c r="D40" i="19"/>
  <c r="M40" i="19"/>
  <c r="I40" i="19"/>
  <c r="H40" i="19"/>
  <c r="K40" i="19"/>
  <c r="N40" i="19"/>
  <c r="L40" i="19"/>
  <c r="K40" i="14"/>
  <c r="K80" i="14" s="1"/>
  <c r="J40" i="14"/>
  <c r="J80" i="14" s="1"/>
  <c r="H40" i="14"/>
  <c r="H80" i="14" s="1"/>
  <c r="D40" i="14"/>
  <c r="D80" i="14" s="1"/>
  <c r="G40" i="14"/>
  <c r="G80" i="14" s="1"/>
  <c r="F40" i="14"/>
  <c r="F80" i="14" s="1"/>
  <c r="I40" i="14"/>
  <c r="I80" i="14" s="1"/>
  <c r="L40" i="14"/>
  <c r="L80" i="14" s="1"/>
  <c r="E40" i="14"/>
  <c r="E80" i="14" s="1"/>
  <c r="C40" i="14"/>
  <c r="C80" i="14" s="1"/>
  <c r="N40" i="14"/>
  <c r="N80" i="14" s="1"/>
  <c r="M40" i="14"/>
  <c r="M80" i="14" s="1"/>
  <c r="O110" i="14"/>
  <c r="E81" i="19" l="1"/>
  <c r="E63" i="19"/>
  <c r="L68" i="19"/>
  <c r="L86" i="19"/>
  <c r="E76" i="14"/>
  <c r="E90" i="14" s="1"/>
  <c r="E113" i="14" s="1"/>
  <c r="E55" i="14"/>
  <c r="E109" i="14" s="1"/>
  <c r="E50" i="14"/>
  <c r="E51" i="14" s="1"/>
  <c r="G76" i="19"/>
  <c r="G55" i="19"/>
  <c r="G109" i="19" s="1"/>
  <c r="G50" i="19"/>
  <c r="G51" i="19" s="1"/>
  <c r="F84" i="19"/>
  <c r="F66" i="19"/>
  <c r="I65" i="19"/>
  <c r="I83" i="19"/>
  <c r="M87" i="19"/>
  <c r="M69" i="19"/>
  <c r="G88" i="19"/>
  <c r="G70" i="19"/>
  <c r="M71" i="19"/>
  <c r="M89" i="19"/>
  <c r="F55" i="14"/>
  <c r="F109" i="14" s="1"/>
  <c r="F50" i="14"/>
  <c r="F51" i="14" s="1"/>
  <c r="F76" i="14"/>
  <c r="F90" i="14" s="1"/>
  <c r="F111" i="14" s="1"/>
  <c r="M76" i="19"/>
  <c r="M50" i="19"/>
  <c r="M51" i="19" s="1"/>
  <c r="M55" i="19"/>
  <c r="M109" i="19" s="1"/>
  <c r="J84" i="19"/>
  <c r="J66" i="19"/>
  <c r="M83" i="19"/>
  <c r="M65" i="19"/>
  <c r="G87" i="19"/>
  <c r="G69" i="19"/>
  <c r="I70" i="19"/>
  <c r="I88" i="19"/>
  <c r="J71" i="19"/>
  <c r="J89" i="19"/>
  <c r="F76" i="19"/>
  <c r="F55" i="19"/>
  <c r="F109" i="19" s="1"/>
  <c r="F50" i="19"/>
  <c r="F51" i="19" s="1"/>
  <c r="J70" i="19"/>
  <c r="J88" i="19"/>
  <c r="F89" i="19"/>
  <c r="F71" i="19"/>
  <c r="G67" i="19"/>
  <c r="G85" i="19"/>
  <c r="K82" i="19"/>
  <c r="K64" i="19"/>
  <c r="J50" i="14"/>
  <c r="J51" i="14" s="1"/>
  <c r="J55" i="14"/>
  <c r="J109" i="14" s="1"/>
  <c r="J76" i="14"/>
  <c r="J90" i="14" s="1"/>
  <c r="J111" i="14" s="1"/>
  <c r="H84" i="19"/>
  <c r="H66" i="19"/>
  <c r="H80" i="19"/>
  <c r="H62" i="19"/>
  <c r="H67" i="19"/>
  <c r="H85" i="19"/>
  <c r="D86" i="19"/>
  <c r="D68" i="19"/>
  <c r="E50" i="19"/>
  <c r="E51" i="19" s="1"/>
  <c r="E55" i="19"/>
  <c r="E109" i="19" s="1"/>
  <c r="E76" i="19"/>
  <c r="E83" i="19"/>
  <c r="E65" i="19"/>
  <c r="H89" i="19"/>
  <c r="H71" i="19"/>
  <c r="F68" i="19"/>
  <c r="F86" i="19"/>
  <c r="L50" i="14"/>
  <c r="L51" i="14" s="1"/>
  <c r="L55" i="14"/>
  <c r="L109" i="14" s="1"/>
  <c r="L76" i="14"/>
  <c r="L90" i="14" s="1"/>
  <c r="L111" i="14" s="1"/>
  <c r="L55" i="19"/>
  <c r="L109" i="19" s="1"/>
  <c r="L50" i="19"/>
  <c r="L51" i="19" s="1"/>
  <c r="L76" i="19"/>
  <c r="N66" i="19"/>
  <c r="N84" i="19"/>
  <c r="F83" i="19"/>
  <c r="F65" i="19"/>
  <c r="L69" i="19"/>
  <c r="L87" i="19"/>
  <c r="M88" i="19"/>
  <c r="M70" i="19"/>
  <c r="N89" i="19"/>
  <c r="N71" i="19"/>
  <c r="I89" i="19"/>
  <c r="I71" i="19"/>
  <c r="N62" i="19"/>
  <c r="N80" i="19"/>
  <c r="J86" i="19"/>
  <c r="J68" i="19"/>
  <c r="D84" i="19"/>
  <c r="D66" i="19"/>
  <c r="G81" i="19"/>
  <c r="G63" i="19"/>
  <c r="K84" i="19"/>
  <c r="K66" i="19"/>
  <c r="E70" i="19"/>
  <c r="E88" i="19"/>
  <c r="D80" i="19"/>
  <c r="D62" i="19"/>
  <c r="M85" i="19"/>
  <c r="M67" i="19"/>
  <c r="J82" i="19"/>
  <c r="J64" i="19"/>
  <c r="F81" i="19"/>
  <c r="F63" i="19"/>
  <c r="N86" i="19"/>
  <c r="N68" i="19"/>
  <c r="D50" i="14"/>
  <c r="D51" i="14" s="1"/>
  <c r="D55" i="14"/>
  <c r="D109" i="14" s="1"/>
  <c r="D76" i="14"/>
  <c r="D90" i="14" s="1"/>
  <c r="D111" i="14" s="1"/>
  <c r="J55" i="19"/>
  <c r="J109" i="19" s="1"/>
  <c r="J76" i="19"/>
  <c r="J50" i="19"/>
  <c r="J51" i="19" s="1"/>
  <c r="E66" i="19"/>
  <c r="E84" i="19"/>
  <c r="L83" i="19"/>
  <c r="L65" i="19"/>
  <c r="F69" i="19"/>
  <c r="F87" i="19"/>
  <c r="F70" i="19"/>
  <c r="F88" i="19"/>
  <c r="G89" i="19"/>
  <c r="G71" i="19"/>
  <c r="N82" i="19"/>
  <c r="N64" i="19"/>
  <c r="L70" i="19"/>
  <c r="L88" i="19"/>
  <c r="I62" i="19"/>
  <c r="I80" i="19"/>
  <c r="D85" i="19"/>
  <c r="D67" i="19"/>
  <c r="G64" i="19"/>
  <c r="G82" i="19"/>
  <c r="H69" i="19"/>
  <c r="H87" i="19"/>
  <c r="F62" i="19"/>
  <c r="F80" i="19"/>
  <c r="F85" i="19"/>
  <c r="F67" i="19"/>
  <c r="M64" i="19"/>
  <c r="M82" i="19"/>
  <c r="N81" i="19"/>
  <c r="N63" i="19"/>
  <c r="H86" i="19"/>
  <c r="H68" i="19"/>
  <c r="G50" i="14"/>
  <c r="G51" i="14" s="1"/>
  <c r="G55" i="14"/>
  <c r="G109" i="14" s="1"/>
  <c r="G76" i="14"/>
  <c r="G90" i="14" s="1"/>
  <c r="G111" i="14" s="1"/>
  <c r="K50" i="19"/>
  <c r="K51" i="19" s="1"/>
  <c r="K76" i="19"/>
  <c r="K55" i="19"/>
  <c r="K109" i="19" s="1"/>
  <c r="L84" i="19"/>
  <c r="L66" i="19"/>
  <c r="G65" i="19"/>
  <c r="G83" i="19"/>
  <c r="I87" i="19"/>
  <c r="I69" i="19"/>
  <c r="H88" i="19"/>
  <c r="H70" i="19"/>
  <c r="D71" i="19"/>
  <c r="D89" i="19"/>
  <c r="K62" i="19"/>
  <c r="K80" i="19"/>
  <c r="H81" i="19"/>
  <c r="H63" i="19"/>
  <c r="H82" i="19"/>
  <c r="H64" i="19"/>
  <c r="K63" i="19"/>
  <c r="K81" i="19"/>
  <c r="K76" i="14"/>
  <c r="K90" i="14" s="1"/>
  <c r="K113" i="14" s="1"/>
  <c r="K55" i="14"/>
  <c r="K109" i="14" s="1"/>
  <c r="K50" i="14"/>
  <c r="K51" i="14" s="1"/>
  <c r="D87" i="19"/>
  <c r="D69" i="19"/>
  <c r="H55" i="14"/>
  <c r="H109" i="14" s="1"/>
  <c r="H76" i="14"/>
  <c r="H90" i="14" s="1"/>
  <c r="H111" i="14" s="1"/>
  <c r="H50" i="14"/>
  <c r="H51" i="14" s="1"/>
  <c r="D65" i="19"/>
  <c r="D83" i="19"/>
  <c r="J62" i="19"/>
  <c r="J80" i="19"/>
  <c r="J85" i="19"/>
  <c r="J67" i="19"/>
  <c r="D64" i="19"/>
  <c r="D82" i="19"/>
  <c r="D81" i="19"/>
  <c r="D63" i="19"/>
  <c r="E68" i="19"/>
  <c r="E86" i="19"/>
  <c r="I76" i="14"/>
  <c r="I90" i="14" s="1"/>
  <c r="I111" i="14" s="1"/>
  <c r="I55" i="14"/>
  <c r="I109" i="14" s="1"/>
  <c r="I50" i="14"/>
  <c r="I51" i="14" s="1"/>
  <c r="N76" i="19"/>
  <c r="N55" i="19"/>
  <c r="N109" i="19" s="1"/>
  <c r="N50" i="19"/>
  <c r="N51" i="19" s="1"/>
  <c r="I84" i="19"/>
  <c r="I66" i="19"/>
  <c r="K83" i="19"/>
  <c r="K65" i="19"/>
  <c r="K87" i="19"/>
  <c r="K69" i="19"/>
  <c r="K88" i="19"/>
  <c r="K70" i="19"/>
  <c r="E89" i="19"/>
  <c r="E71" i="19"/>
  <c r="C62" i="19"/>
  <c r="C80" i="19"/>
  <c r="M80" i="19"/>
  <c r="M62" i="19"/>
  <c r="K85" i="19"/>
  <c r="K67" i="19"/>
  <c r="L82" i="19"/>
  <c r="L64" i="19"/>
  <c r="H76" i="19"/>
  <c r="H55" i="19"/>
  <c r="H109" i="19" s="1"/>
  <c r="H50" i="19"/>
  <c r="H51" i="19" s="1"/>
  <c r="G80" i="19"/>
  <c r="G62" i="19"/>
  <c r="M50" i="14"/>
  <c r="M51" i="14" s="1"/>
  <c r="M76" i="14"/>
  <c r="M90" i="14" s="1"/>
  <c r="M111" i="14" s="1"/>
  <c r="M55" i="14"/>
  <c r="M109" i="14" s="1"/>
  <c r="I55" i="19"/>
  <c r="I109" i="19" s="1"/>
  <c r="I76" i="19"/>
  <c r="I50" i="19"/>
  <c r="I51" i="19" s="1"/>
  <c r="G84" i="19"/>
  <c r="G66" i="19"/>
  <c r="H65" i="19"/>
  <c r="H83" i="19"/>
  <c r="J69" i="19"/>
  <c r="J87" i="19"/>
  <c r="N88" i="19"/>
  <c r="N70" i="19"/>
  <c r="K71" i="19"/>
  <c r="K89" i="19"/>
  <c r="L62" i="19"/>
  <c r="L80" i="19"/>
  <c r="I85" i="19"/>
  <c r="I67" i="19"/>
  <c r="I64" i="19"/>
  <c r="I82" i="19"/>
  <c r="L63" i="19"/>
  <c r="L81" i="19"/>
  <c r="L67" i="19"/>
  <c r="L85" i="19"/>
  <c r="K68" i="19"/>
  <c r="K86" i="19"/>
  <c r="N83" i="19"/>
  <c r="N65" i="19"/>
  <c r="N69" i="19"/>
  <c r="N87" i="19"/>
  <c r="I63" i="19"/>
  <c r="I81" i="19"/>
  <c r="I86" i="19"/>
  <c r="I68" i="19"/>
  <c r="E85" i="19"/>
  <c r="E67" i="19"/>
  <c r="E82" i="19"/>
  <c r="E64" i="19"/>
  <c r="J63" i="19"/>
  <c r="J81" i="19"/>
  <c r="G86" i="19"/>
  <c r="G68" i="19"/>
  <c r="E62" i="19"/>
  <c r="E80" i="19"/>
  <c r="N85" i="19"/>
  <c r="N67" i="19"/>
  <c r="F82" i="19"/>
  <c r="F64" i="19"/>
  <c r="M81" i="19"/>
  <c r="M63" i="19"/>
  <c r="M68" i="19"/>
  <c r="M86" i="19"/>
  <c r="N76" i="14"/>
  <c r="N90" i="14" s="1"/>
  <c r="N113" i="14" s="1"/>
  <c r="N50" i="14"/>
  <c r="N51" i="14" s="1"/>
  <c r="N55" i="14"/>
  <c r="N109" i="14" s="1"/>
  <c r="C76" i="14"/>
  <c r="C90" i="14" s="1"/>
  <c r="C113" i="14" s="1"/>
  <c r="C55" i="14"/>
  <c r="C109" i="14" s="1"/>
  <c r="C50" i="14"/>
  <c r="C51" i="14" s="1"/>
  <c r="O49" i="14"/>
  <c r="P49" i="14" s="1"/>
  <c r="M66" i="19"/>
  <c r="M84" i="19"/>
  <c r="J83" i="19"/>
  <c r="J65" i="19"/>
  <c r="E69" i="19"/>
  <c r="E87" i="19"/>
  <c r="D70" i="19"/>
  <c r="D88" i="19"/>
  <c r="L89" i="19"/>
  <c r="L71" i="19"/>
  <c r="C85" i="19"/>
  <c r="C67" i="19"/>
  <c r="C82" i="19"/>
  <c r="C64" i="19"/>
  <c r="C81" i="19"/>
  <c r="C63" i="19"/>
  <c r="C68" i="19"/>
  <c r="C86" i="19"/>
  <c r="D76" i="19"/>
  <c r="D50" i="19"/>
  <c r="D51" i="19" s="1"/>
  <c r="D55" i="19"/>
  <c r="D109" i="19" s="1"/>
  <c r="C55" i="19"/>
  <c r="C109" i="19" s="1"/>
  <c r="C50" i="19"/>
  <c r="C51" i="19" s="1"/>
  <c r="C76" i="19"/>
  <c r="O49" i="19"/>
  <c r="P49" i="19" s="1"/>
  <c r="C84" i="19"/>
  <c r="C66" i="19"/>
  <c r="C83" i="19"/>
  <c r="C65" i="19"/>
  <c r="C87" i="19"/>
  <c r="C69" i="19"/>
  <c r="C70" i="19"/>
  <c r="C88" i="19"/>
  <c r="C89" i="19"/>
  <c r="C71" i="19"/>
  <c r="D113" i="14"/>
  <c r="E111" i="14"/>
  <c r="G113" i="14" l="1"/>
  <c r="M113" i="14"/>
  <c r="M116" i="14" s="1"/>
  <c r="J113" i="14"/>
  <c r="L113" i="14"/>
  <c r="L116" i="14" s="1"/>
  <c r="F113" i="14"/>
  <c r="F116" i="14" s="1"/>
  <c r="D90" i="19"/>
  <c r="D113" i="19" s="1"/>
  <c r="O109" i="14"/>
  <c r="K111" i="14"/>
  <c r="K116" i="14" s="1"/>
  <c r="H90" i="19"/>
  <c r="H113" i="19" s="1"/>
  <c r="N111" i="14"/>
  <c r="N116" i="14" s="1"/>
  <c r="J72" i="19"/>
  <c r="J110" i="19" s="1"/>
  <c r="M90" i="19"/>
  <c r="E72" i="19"/>
  <c r="E110" i="19" s="1"/>
  <c r="L72" i="19"/>
  <c r="L110" i="19" s="1"/>
  <c r="K72" i="19"/>
  <c r="K110" i="19" s="1"/>
  <c r="K90" i="19"/>
  <c r="H72" i="19"/>
  <c r="H110" i="19" s="1"/>
  <c r="C111" i="14"/>
  <c r="C116" i="14" s="1"/>
  <c r="M72" i="19"/>
  <c r="M110" i="19" s="1"/>
  <c r="I72" i="19"/>
  <c r="I110" i="19" s="1"/>
  <c r="I90" i="19"/>
  <c r="H113" i="14"/>
  <c r="F72" i="19"/>
  <c r="F110" i="19" s="1"/>
  <c r="J90" i="19"/>
  <c r="G90" i="19"/>
  <c r="C90" i="19"/>
  <c r="D72" i="19"/>
  <c r="D110" i="19" s="1"/>
  <c r="G72" i="19"/>
  <c r="G110" i="19" s="1"/>
  <c r="C72" i="19"/>
  <c r="C110" i="19" s="1"/>
  <c r="N72" i="19"/>
  <c r="N110" i="19" s="1"/>
  <c r="I113" i="14"/>
  <c r="I116" i="14" s="1"/>
  <c r="O109" i="19"/>
  <c r="N90" i="19"/>
  <c r="L90" i="19"/>
  <c r="E90" i="19"/>
  <c r="F90" i="19"/>
  <c r="G116" i="14"/>
  <c r="D116" i="14"/>
  <c r="J116" i="14"/>
  <c r="E116" i="14"/>
  <c r="D111" i="19" l="1"/>
  <c r="H111" i="19"/>
  <c r="H116" i="19" s="1"/>
  <c r="O111" i="14"/>
  <c r="O113" i="14"/>
  <c r="H116" i="14"/>
  <c r="D116" i="19"/>
  <c r="N111" i="19"/>
  <c r="N113" i="19"/>
  <c r="C113" i="19"/>
  <c r="C111" i="19"/>
  <c r="C116" i="19" s="1"/>
  <c r="E111" i="19"/>
  <c r="E113" i="19"/>
  <c r="L111" i="19"/>
  <c r="L113" i="19"/>
  <c r="K113" i="19"/>
  <c r="K111" i="19"/>
  <c r="M111" i="19"/>
  <c r="M113" i="19"/>
  <c r="G111" i="19"/>
  <c r="G113" i="19"/>
  <c r="J113" i="19"/>
  <c r="J111" i="19"/>
  <c r="I111" i="19"/>
  <c r="I113" i="19"/>
  <c r="O110" i="19"/>
  <c r="F113" i="19"/>
  <c r="F111" i="19"/>
  <c r="O116" i="14"/>
  <c r="L116" i="19" l="1"/>
  <c r="G116" i="19"/>
  <c r="I116" i="19"/>
  <c r="E116" i="19"/>
  <c r="N116" i="19"/>
  <c r="F116" i="19"/>
  <c r="K116" i="19"/>
  <c r="O111" i="19"/>
  <c r="J116" i="19"/>
  <c r="O113" i="19"/>
  <c r="M116" i="19"/>
  <c r="O116" i="1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<sst xmlns="http://schemas.openxmlformats.org/spreadsheetml/2006/main" count="233" uniqueCount="104">
  <si>
    <t>Capacity</t>
  </si>
  <si>
    <t>Jan</t>
  </si>
  <si>
    <t>Feb</t>
  </si>
  <si>
    <t>Mar</t>
  </si>
  <si>
    <t>Apr</t>
  </si>
  <si>
    <t>May</t>
  </si>
  <si>
    <t>Jun</t>
  </si>
  <si>
    <t>Jul</t>
  </si>
  <si>
    <t>Aug</t>
  </si>
  <si>
    <t>Sep</t>
  </si>
  <si>
    <t>Oct</t>
  </si>
  <si>
    <t>Nov</t>
  </si>
  <si>
    <t>Dec</t>
  </si>
  <si>
    <t>Staff</t>
  </si>
  <si>
    <t>Ticket price ($)</t>
  </si>
  <si>
    <t>Average snack spend ($)</t>
  </si>
  <si>
    <t>Hourly rate ($)</t>
  </si>
  <si>
    <t>Number of day in a month</t>
  </si>
  <si>
    <t>Ticket revenue</t>
  </si>
  <si>
    <t>Original</t>
  </si>
  <si>
    <t>Screenings per day</t>
  </si>
  <si>
    <t>Total</t>
  </si>
  <si>
    <t>Projected ticket sales</t>
  </si>
  <si>
    <t>Total snack sales</t>
  </si>
  <si>
    <t>Cost of snacks sale</t>
  </si>
  <si>
    <t>Total profit</t>
  </si>
  <si>
    <t>Snacks sales</t>
  </si>
  <si>
    <t>B. Unique Cinemagoers (annual)</t>
  </si>
  <si>
    <t>C. Proportion buying snacks</t>
  </si>
  <si>
    <t>A. Number of movies seen over a year</t>
  </si>
  <si>
    <t>Commentary</t>
  </si>
  <si>
    <t>Checks:</t>
  </si>
  <si>
    <t>No doubt in the validity of the data provided.</t>
  </si>
  <si>
    <t>Intuitively would expect most cinemagoers only go to the cinema a few times a year, perhaps to watch the movies they wanted to watch.</t>
  </si>
  <si>
    <t>Check on attendance data</t>
  </si>
  <si>
    <t>Check on consistency of projected attendance</t>
  </si>
  <si>
    <t>Overheads</t>
  </si>
  <si>
    <t>Regular 3</t>
  </si>
  <si>
    <t>Regular 6</t>
  </si>
  <si>
    <t>Regular 7</t>
  </si>
  <si>
    <t>Regular 10</t>
  </si>
  <si>
    <t>Regular 1</t>
  </si>
  <si>
    <t>Regular 5</t>
  </si>
  <si>
    <t>Regular 2</t>
  </si>
  <si>
    <t>Regular 4</t>
  </si>
  <si>
    <t>Regular 9</t>
  </si>
  <si>
    <t>Regular 8</t>
  </si>
  <si>
    <t>Regular</t>
  </si>
  <si>
    <t>Raw data provided by the client</t>
  </si>
  <si>
    <t>Data checks</t>
  </si>
  <si>
    <t>Parameters</t>
  </si>
  <si>
    <t>Month</t>
  </si>
  <si>
    <t>R</t>
  </si>
  <si>
    <t>M</t>
  </si>
  <si>
    <t>Number of months movie has been showing</t>
  </si>
  <si>
    <t>Total cinema</t>
  </si>
  <si>
    <t>Check</t>
  </si>
  <si>
    <t>Total number of movies seen in yr</t>
  </si>
  <si>
    <t>Projected revenue from snack sales (split by total number of movies seen in the year)</t>
  </si>
  <si>
    <t>Cinema profit calculations</t>
  </si>
  <si>
    <t>Screen</t>
  </si>
  <si>
    <t>Schedule</t>
  </si>
  <si>
    <t>Each movie is shown for  two to four months over the year. No reasons to doubt the validity of the movie schedule</t>
  </si>
  <si>
    <t>The utilisation rate is lower the longer a movie has been in the cinema, which seems reasonable.</t>
  </si>
  <si>
    <t>Income from movie screenings</t>
  </si>
  <si>
    <t>Projected utilisation rate</t>
  </si>
  <si>
    <t>Commission arrangement with movie distributors (% of ticket price)</t>
  </si>
  <si>
    <t>Commision rates follows a very similar pattern as the utilisation rate, which again makes sense.</t>
  </si>
  <si>
    <t>Projected screen usage</t>
  </si>
  <si>
    <t>Commission % for distributors</t>
  </si>
  <si>
    <t>Commission $ for distributors</t>
  </si>
  <si>
    <t>Commission</t>
  </si>
  <si>
    <t>Projected cinemagoers (split by screen for commission calculation)</t>
  </si>
  <si>
    <t xml:space="preserve">Commission </t>
  </si>
  <si>
    <t xml:space="preserve">There appears to be some die-hard cinema fans who would watch almost all movies in the year, which again does not seem surprising. </t>
  </si>
  <si>
    <t>Movie schedule and seating capacity by screen</t>
  </si>
  <si>
    <t>Monthly overheads ($)</t>
  </si>
  <si>
    <t>Costs per average snack spend ($)</t>
  </si>
  <si>
    <t>Change in snack spending habit</t>
  </si>
  <si>
    <t>Staff expenses</t>
  </si>
  <si>
    <r>
      <t xml:space="preserve">Number of films seen split by unique cinemagoers </t>
    </r>
    <r>
      <rPr>
        <sz val="11"/>
        <color theme="1"/>
        <rFont val="Calibri"/>
        <family val="2"/>
        <scheme val="minor"/>
      </rPr>
      <t>(This is the number of films seen split by month and by unique cinemagoers. E.g. if you sum up row 49, i.e. the number of cinemagoers who have seen 14 movies a year, the sum would equal to that in the data check (5040))</t>
    </r>
  </si>
  <si>
    <t>Cost of snack sales</t>
  </si>
  <si>
    <t>Numbers of movies seen</t>
  </si>
  <si>
    <t>As a proportion of number of movies seen</t>
  </si>
  <si>
    <t>Number of hours worked a day</t>
  </si>
  <si>
    <t>Equivalent number of monthly screenings</t>
  </si>
  <si>
    <t>Epic 1</t>
  </si>
  <si>
    <t>Major 1</t>
  </si>
  <si>
    <t>Major</t>
  </si>
  <si>
    <t>Epic</t>
  </si>
  <si>
    <t>E</t>
  </si>
  <si>
    <t>Major 2</t>
  </si>
  <si>
    <t>Major 3</t>
  </si>
  <si>
    <t>It makes sense the Epic release is shown the most times, followed by Major releases.</t>
  </si>
  <si>
    <t>By eyes only, Epic has the highest utilisation rate, followed by Major then Regular, which makes sense</t>
  </si>
  <si>
    <t>Annual pass</t>
  </si>
  <si>
    <t>Annual pass fee</t>
  </si>
  <si>
    <t>Number of films for annual pass* (Annual pass threshold)</t>
  </si>
  <si>
    <t>*In the original scenario this is entered as 15 as annual pass is not an option and no cinemagoers will watch 15 or more films.</t>
  </si>
  <si>
    <t>Discount on snacks for passholders</t>
  </si>
  <si>
    <t>Cinema going and profit calculations for original scenario (i.e. no annual pass)</t>
  </si>
  <si>
    <t>Annual pass income</t>
  </si>
  <si>
    <t>Annual pass revenue</t>
  </si>
  <si>
    <t>Cinema going and profit calculations for annual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</si>
</sst>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2" fillId="0" borderId="0" xfId="0" applyFont="1"/>
    <xf numFmtId="9" fontId="0" fillId="0" borderId="0" xfId="0" applyNumberFormat="1"/>
    <xf numFmtId="0" fontId="0" fillId="0" borderId="0" xfId="0" applyAlignment="1">
      <alignment wrapText="1"/>
    </xf>
    <xf numFmtId="9" fontId="0" fillId="0" borderId="0" xfId="2" applyFont="1"/>
    <xf numFmtId="164" fontId="0" fillId="0" borderId="0" xfId="1" applyNumberFormat="1" applyFont="1"/>
    <xf numFmtId="164" fontId="0" fillId="0" borderId="0" xfId="0" applyNumberFormat="1"/>
    <xf numFmtId="165" fontId="0" fillId="0" borderId="0" xfId="2" applyNumberFormat="1" applyFont="1"/>
    <xf numFmtId="43" fontId="0" fillId="0" borderId="0" xfId="0" applyNumberFormat="1"/>
    <xf numFmtId="164" fontId="0" fillId="0" borderId="0" xfId="1" applyNumberFormat="1" applyFont="1" applyFill="1"/>
    <xf numFmtId="9" fontId="0" fillId="0" borderId="0" xfId="2" applyFont="1" applyFill="1"/>
    <xf numFmtId="38" fontId="0" fillId="0" borderId="0" xfId="0" applyNumberFormat="1"/>
    <xf numFmtId="38" fontId="0" fillId="0" borderId="0" xfId="1" applyNumberFormat="1" applyFont="1" applyFill="1"/>
    <xf numFmtId="0" fontId="4" fillId="0" borderId="0" xfId="0" applyFont="1"/>
    <xf numFmtId="0" fontId="0" fillId="2" borderId="0" xfId="0" applyFill="1"/>
    <xf numFmtId="0" fontId="5" fillId="0" borderId="0" xfId="0" applyFont="1"/>
    <xf numFmtId="164" fontId="2" fillId="0" borderId="0" xfId="1" applyNumberFormat="1" applyFont="1" applyFill="1"/>
    <xf numFmtId="164" fontId="2" fillId="0" borderId="0" xfId="0" applyNumberFormat="1" applyFont="1"/>
    <xf numFmtId="0" fontId="6" fillId="0" borderId="0" xfId="0" applyFont="1"/>
    <xf numFmtId="38" fontId="2" fillId="0" borderId="0" xfId="0" applyNumberFormat="1" applyFont="1"/>
    <xf numFmtId="164" fontId="0" fillId="2" borderId="0" xfId="0" applyNumberFormat="1" applyFill="1"/>
    <xf numFmtId="0" fontId="0" fillId="3" borderId="0" xfId="0" applyFill="1"/>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right" wrapText="1"/>
    </xf>
    <xf numFmtId="9" fontId="0" fillId="0" borderId="0" xfId="2" applyFont="1" applyAlignment="1">
      <alignment horizontal="right"/>
    </xf>
    <xf numFmtId="0" fontId="2" fillId="0" borderId="0" xfId="0" applyFont="1" applyAlignment="1">
      <alignment horizontal="center" wrapText="1"/>
    </xf>
    <xf numFmtId="164" fontId="6" fillId="0" borderId="0" xfId="0" applyNumberFormat="1" applyFont="1" applyAlignment="1">
      <alignment horizontal="right"/>
    </xf>
    <xf numFmtId="43" fontId="0" fillId="0" borderId="0" xfId="1" applyFont="1"/>
    <xf numFmtId="43" fontId="0" fillId="2" borderId="0" xfId="1" applyFont="1" applyFill="1"/>
    <xf numFmtId="9" fontId="0" fillId="2" borderId="0" xfId="0" applyNumberFormat="1" applyFill="1"/>
    <xf numFmtId="43" fontId="0" fillId="2" borderId="0" xfId="0" applyNumberForma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Attendance and snack sales by number of movies seen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Unique Cinemagoers (annual)</c:v>
          </c:tx>
          <c:spPr>
            <a:solidFill>
              <a:schemeClr val="accent1"/>
            </a:solidFill>
            <a:ln>
              <a:noFill/>
            </a:ln>
            <a:effectLst/>
          </c:spPr>
          <c:invertIfNegative val="0"/>
          <c:cat>
            <c:numRef>
              <c:f>Data_checks!$B$44:$B$57</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Data_checks!$C$44:$C$57</c:f>
              <c:numCache>
                <c:formatCode>_-* #,##0_-;\-* #,##0_-;_-* "-"??_-;_-@_-</c:formatCode>
                <c:ptCount val="14"/>
                <c:pt idx="0">
                  <c:v>185220</c:v>
                </c:pt>
                <c:pt idx="1">
                  <c:v>270000</c:v>
                </c:pt>
                <c:pt idx="2">
                  <c:v>180000</c:v>
                </c:pt>
                <c:pt idx="3">
                  <c:v>135000</c:v>
                </c:pt>
                <c:pt idx="4">
                  <c:v>81000</c:v>
                </c:pt>
                <c:pt idx="5">
                  <c:v>54000</c:v>
                </c:pt>
                <c:pt idx="6">
                  <c:v>27000</c:v>
                </c:pt>
                <c:pt idx="7">
                  <c:v>5400</c:v>
                </c:pt>
                <c:pt idx="8">
                  <c:v>3600</c:v>
                </c:pt>
                <c:pt idx="9">
                  <c:v>1080</c:v>
                </c:pt>
                <c:pt idx="10">
                  <c:v>1080</c:v>
                </c:pt>
                <c:pt idx="11">
                  <c:v>900</c:v>
                </c:pt>
                <c:pt idx="12">
                  <c:v>540</c:v>
                </c:pt>
                <c:pt idx="13">
                  <c:v>360</c:v>
                </c:pt>
              </c:numCache>
            </c:numRef>
          </c:val>
          <c:extLst>
            <c:ext xmlns:c16="http://schemas.microsoft.com/office/drawing/2014/chart" uri="{C3380CC4-5D6E-409C-BE32-E72D297353CC}">
              <c16:uniqueId val="{00000000-7920-49D0-BF7D-8E768996C3BD}"/>
            </c:ext>
          </c:extLst>
        </c:ser>
        <c:dLbls>
          <c:showLegendKey val="0"/>
          <c:showVal val="0"/>
          <c:showCatName val="0"/>
          <c:showSerName val="0"/>
          <c:showPercent val="0"/>
          <c:showBubbleSize val="0"/>
        </c:dLbls>
        <c:gapWidth val="219"/>
        <c:overlap val="-27"/>
        <c:axId val="1487329040"/>
        <c:axId val="1487342000"/>
      </c:barChart>
      <c:lineChart>
        <c:grouping val="standard"/>
        <c:varyColors val="0"/>
        <c:ser>
          <c:idx val="1"/>
          <c:order val="1"/>
          <c:tx>
            <c:v>Proportion buying snacks</c:v>
          </c:tx>
          <c:spPr>
            <a:ln w="28575" cap="rnd">
              <a:solidFill>
                <a:schemeClr val="accent2"/>
              </a:solidFill>
              <a:round/>
            </a:ln>
            <a:effectLst/>
          </c:spPr>
          <c:marker>
            <c:symbol val="none"/>
          </c:marker>
          <c:cat>
            <c:numRef>
              <c:f>Data_checks!$B$44:$B$57</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Data_checks!$D$44:$D$57</c:f>
              <c:numCache>
                <c:formatCode>0%</c:formatCode>
                <c:ptCount val="14"/>
                <c:pt idx="0">
                  <c:v>0.22257935182091537</c:v>
                </c:pt>
                <c:pt idx="1">
                  <c:v>0.28935315736718997</c:v>
                </c:pt>
                <c:pt idx="2">
                  <c:v>0.30048212495823579</c:v>
                </c:pt>
                <c:pt idx="3">
                  <c:v>0.39</c:v>
                </c:pt>
                <c:pt idx="4">
                  <c:v>0.35</c:v>
                </c:pt>
                <c:pt idx="5">
                  <c:v>0.42</c:v>
                </c:pt>
                <c:pt idx="6">
                  <c:v>0.4</c:v>
                </c:pt>
                <c:pt idx="7">
                  <c:v>0.5</c:v>
                </c:pt>
                <c:pt idx="8">
                  <c:v>0.65</c:v>
                </c:pt>
                <c:pt idx="9">
                  <c:v>0.56999999999999995</c:v>
                </c:pt>
                <c:pt idx="10">
                  <c:v>0.68</c:v>
                </c:pt>
                <c:pt idx="11">
                  <c:v>0.59</c:v>
                </c:pt>
                <c:pt idx="12">
                  <c:v>0.7</c:v>
                </c:pt>
                <c:pt idx="13">
                  <c:v>0.71</c:v>
                </c:pt>
              </c:numCache>
            </c:numRef>
          </c:val>
          <c:smooth val="0"/>
          <c:extLst>
            <c:ext xmlns:c16="http://schemas.microsoft.com/office/drawing/2014/chart" uri="{C3380CC4-5D6E-409C-BE32-E72D297353CC}">
              <c16:uniqueId val="{00000001-7920-49D0-BF7D-8E768996C3BD}"/>
            </c:ext>
          </c:extLst>
        </c:ser>
        <c:dLbls>
          <c:showLegendKey val="0"/>
          <c:showVal val="0"/>
          <c:showCatName val="0"/>
          <c:showSerName val="0"/>
          <c:showPercent val="0"/>
          <c:showBubbleSize val="0"/>
        </c:dLbls>
        <c:marker val="1"/>
        <c:smooth val="0"/>
        <c:axId val="1487329520"/>
        <c:axId val="1487340560"/>
      </c:lineChart>
      <c:catAx>
        <c:axId val="148732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a:t>
                </a:r>
                <a:r>
                  <a:rPr lang="en-GB" baseline="0"/>
                  <a:t> movies seen</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42000"/>
        <c:crosses val="autoZero"/>
        <c:auto val="1"/>
        <c:lblAlgn val="ctr"/>
        <c:lblOffset val="100"/>
        <c:noMultiLvlLbl val="0"/>
      </c:catAx>
      <c:valAx>
        <c:axId val="148734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Number of cinemagoers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29040"/>
        <c:crosses val="autoZero"/>
        <c:crossBetween val="between"/>
      </c:valAx>
      <c:valAx>
        <c:axId val="14873405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Proportion buying snacks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329520"/>
        <c:crosses val="max"/>
        <c:crossBetween val="between"/>
      </c:valAx>
      <c:catAx>
        <c:axId val="1487329520"/>
        <c:scaling>
          <c:orientation val="minMax"/>
        </c:scaling>
        <c:delete val="1"/>
        <c:axPos val="b"/>
        <c:numFmt formatCode="General" sourceLinked="1"/>
        <c:majorTickMark val="none"/>
        <c:minorTickMark val="none"/>
        <c:tickLblPos val="nextTo"/>
        <c:crossAx val="1487340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121919</xdr:colOff>
      <xdr:row>42</xdr:row>
      <xdr:rowOff>152401</xdr:rowOff>
    </xdr:from>
    <xdr:to>
      <xdr:col>14</xdr:col>
      <xdr:colOff>541020</xdr:colOff>
      <xdr:row>60</xdr:row>
      <xdr:rowOff>53340</xdr:rowOff>
    </xdr:to>
    <xdr:graphicFrame macro="">
      <xdr:nvGraphicFramePr>
        <xdr:cNvPr id="3" name="Chart 2">
          <a:extLst>
            <a:ext uri="{FF2B5EF4-FFF2-40B4-BE49-F238E27FC236}">
              <a16:creationId xmlns:a16="http://schemas.microsoft.com/office/drawing/2014/main" id="{BE54B491-9DC3-DF49-C27B-CBC67EA69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15B9-863B-43BF-8EB4-E1404491BF20}">
  <sheetPr codeName="Sheet1"/>
  <dimension ref="B1:O80"/>
  <sheetViews>
    <sheetView tabSelected="1" workbookViewId="0"/>
  </sheetViews>
  <sheetFormatPr defaultRowHeight="14.4" x14ac:dyDescent="0.3"/>
  <cols>
    <col min="1" max="1" width="2.33203125" customWidth="1"/>
    <col min="2" max="2" width="25.109375" customWidth="1"/>
    <col min="3" max="3" width="13.5546875" bestFit="1" customWidth="1"/>
    <col min="4" max="4" width="12.88671875" bestFit="1" customWidth="1"/>
    <col min="5" max="7" width="12.77734375" customWidth="1"/>
    <col min="8" max="8" width="17.6640625" customWidth="1"/>
    <col min="9" max="15" width="12.77734375" customWidth="1"/>
  </cols>
  <sheetData>
    <row r="1" spans="2:15" x14ac:dyDescent="0.3">
      <c r="B1" s="1" t="s">
        <v>48</v>
      </c>
    </row>
    <row r="4" spans="2:15" x14ac:dyDescent="0.3">
      <c r="B4" s="1" t="s">
        <v>75</v>
      </c>
    </row>
    <row r="5" spans="2:15" x14ac:dyDescent="0.3">
      <c r="B5" s="24" t="s">
        <v>60</v>
      </c>
      <c r="C5" t="s">
        <v>0</v>
      </c>
      <c r="D5" t="s">
        <v>1</v>
      </c>
      <c r="E5" t="s">
        <v>2</v>
      </c>
      <c r="F5" t="s">
        <v>3</v>
      </c>
      <c r="G5" t="s">
        <v>4</v>
      </c>
      <c r="H5" t="s">
        <v>5</v>
      </c>
      <c r="I5" t="s">
        <v>6</v>
      </c>
      <c r="J5" t="s">
        <v>7</v>
      </c>
      <c r="K5" t="s">
        <v>8</v>
      </c>
      <c r="L5" t="s">
        <v>9</v>
      </c>
      <c r="M5" t="s">
        <v>10</v>
      </c>
      <c r="N5" t="s">
        <v>11</v>
      </c>
      <c r="O5" t="s">
        <v>12</v>
      </c>
    </row>
    <row r="6" spans="2:15" x14ac:dyDescent="0.3">
      <c r="B6" s="24">
        <v>1</v>
      </c>
      <c r="C6">
        <v>850</v>
      </c>
      <c r="D6" t="s">
        <v>87</v>
      </c>
      <c r="E6" t="s">
        <v>87</v>
      </c>
      <c r="F6" t="s">
        <v>37</v>
      </c>
      <c r="G6" t="s">
        <v>91</v>
      </c>
      <c r="H6" t="s">
        <v>91</v>
      </c>
      <c r="I6" t="s">
        <v>38</v>
      </c>
      <c r="J6" t="s">
        <v>86</v>
      </c>
      <c r="K6" t="s">
        <v>86</v>
      </c>
      <c r="L6" t="s">
        <v>39</v>
      </c>
      <c r="M6" t="s">
        <v>88</v>
      </c>
      <c r="N6" t="s">
        <v>92</v>
      </c>
      <c r="O6" t="s">
        <v>40</v>
      </c>
    </row>
    <row r="7" spans="2:15" x14ac:dyDescent="0.3">
      <c r="B7" s="24">
        <v>2</v>
      </c>
      <c r="C7">
        <v>450</v>
      </c>
      <c r="D7" t="s">
        <v>87</v>
      </c>
      <c r="E7" t="s">
        <v>41</v>
      </c>
      <c r="F7" t="s">
        <v>87</v>
      </c>
      <c r="G7" t="s">
        <v>91</v>
      </c>
      <c r="H7" t="s">
        <v>42</v>
      </c>
      <c r="I7" t="s">
        <v>91</v>
      </c>
      <c r="J7" t="s">
        <v>86</v>
      </c>
      <c r="K7" t="s">
        <v>86</v>
      </c>
      <c r="L7" t="s">
        <v>86</v>
      </c>
      <c r="M7" t="s">
        <v>92</v>
      </c>
      <c r="N7" t="s">
        <v>40</v>
      </c>
      <c r="O7" t="s">
        <v>92</v>
      </c>
    </row>
    <row r="8" spans="2:15" x14ac:dyDescent="0.3">
      <c r="B8" s="24">
        <v>3</v>
      </c>
      <c r="C8">
        <v>200</v>
      </c>
      <c r="D8" t="s">
        <v>41</v>
      </c>
      <c r="E8" t="s">
        <v>43</v>
      </c>
      <c r="F8" t="s">
        <v>37</v>
      </c>
      <c r="G8" t="s">
        <v>44</v>
      </c>
      <c r="H8" t="s">
        <v>44</v>
      </c>
      <c r="I8" t="s">
        <v>42</v>
      </c>
      <c r="J8" t="s">
        <v>86</v>
      </c>
      <c r="K8" t="s">
        <v>39</v>
      </c>
      <c r="L8" t="s">
        <v>86</v>
      </c>
      <c r="M8" t="s">
        <v>86</v>
      </c>
      <c r="N8" t="s">
        <v>45</v>
      </c>
      <c r="O8" t="s">
        <v>40</v>
      </c>
    </row>
    <row r="9" spans="2:15" x14ac:dyDescent="0.3">
      <c r="B9" s="24">
        <v>4</v>
      </c>
      <c r="C9">
        <v>150</v>
      </c>
      <c r="D9" t="s">
        <v>43</v>
      </c>
      <c r="E9" t="s">
        <v>43</v>
      </c>
      <c r="F9" t="s">
        <v>41</v>
      </c>
      <c r="G9" t="s">
        <v>37</v>
      </c>
      <c r="H9" t="s">
        <v>44</v>
      </c>
      <c r="I9" t="s">
        <v>44</v>
      </c>
      <c r="J9" t="s">
        <v>38</v>
      </c>
      <c r="K9" t="s">
        <v>46</v>
      </c>
      <c r="L9" t="s">
        <v>46</v>
      </c>
      <c r="M9" t="s">
        <v>45</v>
      </c>
      <c r="N9" t="s">
        <v>45</v>
      </c>
      <c r="O9" t="s">
        <v>45</v>
      </c>
    </row>
    <row r="12" spans="2:15" ht="57.6" x14ac:dyDescent="0.3">
      <c r="B12" s="29" t="s">
        <v>65</v>
      </c>
      <c r="C12" s="22" t="s">
        <v>47</v>
      </c>
      <c r="D12" s="22" t="s">
        <v>88</v>
      </c>
      <c r="E12" s="22" t="s">
        <v>89</v>
      </c>
      <c r="G12" s="1"/>
      <c r="H12" s="29" t="s">
        <v>66</v>
      </c>
      <c r="I12" s="22" t="s">
        <v>47</v>
      </c>
      <c r="J12" s="22" t="s">
        <v>88</v>
      </c>
      <c r="K12" s="22" t="s">
        <v>89</v>
      </c>
    </row>
    <row r="13" spans="2:15" x14ac:dyDescent="0.3">
      <c r="B13" s="23" t="s">
        <v>51</v>
      </c>
      <c r="C13" s="22" t="s">
        <v>52</v>
      </c>
      <c r="D13" s="22" t="s">
        <v>53</v>
      </c>
      <c r="E13" s="22" t="s">
        <v>90</v>
      </c>
      <c r="H13" s="23" t="s">
        <v>51</v>
      </c>
      <c r="I13" s="22" t="s">
        <v>52</v>
      </c>
      <c r="J13" s="22" t="s">
        <v>53</v>
      </c>
      <c r="K13" s="22" t="s">
        <v>90</v>
      </c>
    </row>
    <row r="14" spans="2:15" x14ac:dyDescent="0.3">
      <c r="B14" s="25">
        <v>1</v>
      </c>
      <c r="C14" s="2">
        <v>0.85</v>
      </c>
      <c r="D14" s="2">
        <v>0.93</v>
      </c>
      <c r="E14" s="2">
        <v>0.98</v>
      </c>
      <c r="H14" s="25">
        <v>1</v>
      </c>
      <c r="I14" s="2">
        <v>0.45</v>
      </c>
      <c r="J14" s="2">
        <v>0.55000000000000004</v>
      </c>
      <c r="K14" s="2">
        <v>0.65</v>
      </c>
    </row>
    <row r="15" spans="2:15" x14ac:dyDescent="0.3">
      <c r="B15" s="25">
        <v>2</v>
      </c>
      <c r="C15" s="2">
        <v>0.65</v>
      </c>
      <c r="D15" s="2">
        <v>0.8</v>
      </c>
      <c r="E15" s="2">
        <v>0.85</v>
      </c>
      <c r="H15" s="25">
        <v>2</v>
      </c>
      <c r="I15" s="2">
        <v>0.35</v>
      </c>
      <c r="J15" s="2">
        <v>0.45</v>
      </c>
      <c r="K15" s="2">
        <v>0.55000000000000004</v>
      </c>
    </row>
    <row r="16" spans="2:15" x14ac:dyDescent="0.3">
      <c r="B16" s="25">
        <v>3</v>
      </c>
      <c r="C16" s="2">
        <v>0.45</v>
      </c>
      <c r="D16" s="2">
        <v>0.65</v>
      </c>
      <c r="E16" s="2">
        <v>0.7</v>
      </c>
      <c r="H16" s="25">
        <v>3</v>
      </c>
      <c r="I16" s="2">
        <v>0.15</v>
      </c>
      <c r="J16" s="2">
        <v>0.3</v>
      </c>
      <c r="K16" s="2">
        <v>0.45</v>
      </c>
    </row>
    <row r="17" spans="2:14" x14ac:dyDescent="0.3">
      <c r="B17" s="25">
        <v>4</v>
      </c>
      <c r="C17" s="2">
        <v>0</v>
      </c>
      <c r="D17" s="2">
        <v>0</v>
      </c>
      <c r="E17" s="2">
        <v>0.6</v>
      </c>
      <c r="H17" s="25">
        <v>4</v>
      </c>
      <c r="I17" s="2">
        <v>0</v>
      </c>
      <c r="J17" s="2">
        <v>0</v>
      </c>
      <c r="K17" s="2">
        <v>0.2</v>
      </c>
    </row>
    <row r="20" spans="2:14" ht="43.2" x14ac:dyDescent="0.3">
      <c r="B20" s="26" t="s">
        <v>29</v>
      </c>
      <c r="C20" s="27" t="s">
        <v>27</v>
      </c>
      <c r="D20" s="27" t="s">
        <v>28</v>
      </c>
      <c r="E20" s="3"/>
      <c r="F20" s="3"/>
    </row>
    <row r="21" spans="2:14" x14ac:dyDescent="0.3">
      <c r="B21" s="23">
        <v>1</v>
      </c>
      <c r="C21" s="22">
        <v>185220</v>
      </c>
      <c r="D21" s="28">
        <v>0.22257935182091537</v>
      </c>
      <c r="F21" s="7"/>
      <c r="N21" s="7"/>
    </row>
    <row r="22" spans="2:14" x14ac:dyDescent="0.3">
      <c r="B22" s="23">
        <v>2</v>
      </c>
      <c r="C22" s="22">
        <v>270000</v>
      </c>
      <c r="D22" s="28">
        <f>D21*1.3</f>
        <v>0.28935315736718997</v>
      </c>
      <c r="F22" s="7"/>
      <c r="N22" s="7"/>
    </row>
    <row r="23" spans="2:14" x14ac:dyDescent="0.3">
      <c r="B23" s="23">
        <v>3</v>
      </c>
      <c r="C23" s="22">
        <v>180000</v>
      </c>
      <c r="D23" s="28">
        <f>D21*1.35</f>
        <v>0.30048212495823579</v>
      </c>
      <c r="F23" s="7"/>
      <c r="N23" s="7"/>
    </row>
    <row r="24" spans="2:14" x14ac:dyDescent="0.3">
      <c r="B24" s="23">
        <v>4</v>
      </c>
      <c r="C24" s="22">
        <v>135000</v>
      </c>
      <c r="D24" s="28">
        <v>0.39</v>
      </c>
      <c r="F24" s="7"/>
      <c r="N24" s="7"/>
    </row>
    <row r="25" spans="2:14" x14ac:dyDescent="0.3">
      <c r="B25" s="23">
        <v>5</v>
      </c>
      <c r="C25" s="22">
        <v>81000</v>
      </c>
      <c r="D25" s="28">
        <v>0.35</v>
      </c>
      <c r="F25" s="7"/>
      <c r="I25" s="4"/>
      <c r="N25" s="7"/>
    </row>
    <row r="26" spans="2:14" x14ac:dyDescent="0.3">
      <c r="B26" s="23">
        <v>6</v>
      </c>
      <c r="C26" s="22">
        <v>54000</v>
      </c>
      <c r="D26" s="28">
        <v>0.42</v>
      </c>
      <c r="F26" s="7"/>
      <c r="N26" s="7"/>
    </row>
    <row r="27" spans="2:14" x14ac:dyDescent="0.3">
      <c r="B27" s="23">
        <v>7</v>
      </c>
      <c r="C27" s="22">
        <v>27000</v>
      </c>
      <c r="D27" s="28">
        <v>0.4</v>
      </c>
      <c r="F27" s="7"/>
      <c r="N27" s="7"/>
    </row>
    <row r="28" spans="2:14" x14ac:dyDescent="0.3">
      <c r="B28" s="23">
        <v>8</v>
      </c>
      <c r="C28" s="22">
        <v>5400</v>
      </c>
      <c r="D28" s="28">
        <v>0.5</v>
      </c>
      <c r="F28" s="7"/>
      <c r="N28" s="7"/>
    </row>
    <row r="29" spans="2:14" x14ac:dyDescent="0.3">
      <c r="B29" s="23">
        <v>9</v>
      </c>
      <c r="C29" s="22">
        <v>3600</v>
      </c>
      <c r="D29" s="28">
        <v>0.65</v>
      </c>
      <c r="F29" s="7"/>
      <c r="N29" s="7"/>
    </row>
    <row r="30" spans="2:14" x14ac:dyDescent="0.3">
      <c r="B30" s="23">
        <v>10</v>
      </c>
      <c r="C30" s="22">
        <v>1080</v>
      </c>
      <c r="D30" s="28">
        <v>0.56999999999999995</v>
      </c>
      <c r="F30" s="7"/>
      <c r="N30" s="7"/>
    </row>
    <row r="31" spans="2:14" x14ac:dyDescent="0.3">
      <c r="B31" s="23">
        <v>11</v>
      </c>
      <c r="C31" s="22">
        <v>1080</v>
      </c>
      <c r="D31" s="28">
        <v>0.68</v>
      </c>
      <c r="F31" s="7"/>
      <c r="N31" s="7"/>
    </row>
    <row r="32" spans="2:14" x14ac:dyDescent="0.3">
      <c r="B32" s="23">
        <v>12</v>
      </c>
      <c r="C32" s="22">
        <v>900</v>
      </c>
      <c r="D32" s="28">
        <v>0.59</v>
      </c>
      <c r="F32" s="7"/>
      <c r="N32" s="7"/>
    </row>
    <row r="33" spans="2:14" x14ac:dyDescent="0.3">
      <c r="B33" s="23">
        <v>13</v>
      </c>
      <c r="C33" s="22">
        <v>540</v>
      </c>
      <c r="D33" s="28">
        <v>0.7</v>
      </c>
      <c r="F33" s="7"/>
      <c r="N33" s="7"/>
    </row>
    <row r="34" spans="2:14" x14ac:dyDescent="0.3">
      <c r="B34" s="23">
        <v>14</v>
      </c>
      <c r="C34" s="22">
        <v>360</v>
      </c>
      <c r="D34" s="28">
        <v>0.71</v>
      </c>
      <c r="F34" s="7"/>
      <c r="N34" s="7"/>
    </row>
    <row r="50" spans="2:14" x14ac:dyDescent="0.3">
      <c r="B50" s="3"/>
      <c r="C50" s="3"/>
      <c r="D50" s="3"/>
    </row>
    <row r="51" spans="2:14" x14ac:dyDescent="0.3">
      <c r="C51" s="4"/>
      <c r="D51" s="4"/>
      <c r="E51" s="4"/>
      <c r="F51" s="4"/>
      <c r="G51" s="4"/>
      <c r="H51" s="4"/>
      <c r="I51" s="4"/>
      <c r="J51" s="4"/>
      <c r="K51" s="4"/>
      <c r="L51" s="4"/>
      <c r="M51" s="4"/>
      <c r="N51" s="4"/>
    </row>
    <row r="52" spans="2:14" x14ac:dyDescent="0.3">
      <c r="C52" s="4"/>
      <c r="D52" s="4"/>
      <c r="E52" s="4"/>
      <c r="F52" s="4"/>
      <c r="G52" s="4"/>
      <c r="H52" s="4"/>
      <c r="I52" s="4"/>
      <c r="J52" s="4"/>
      <c r="K52" s="4"/>
      <c r="L52" s="4"/>
      <c r="M52" s="4"/>
      <c r="N52" s="4"/>
    </row>
    <row r="53" spans="2:14" x14ac:dyDescent="0.3">
      <c r="C53" s="4"/>
      <c r="D53" s="4"/>
      <c r="E53" s="4"/>
      <c r="F53" s="4"/>
      <c r="G53" s="4"/>
      <c r="H53" s="4"/>
      <c r="I53" s="4"/>
      <c r="J53" s="4"/>
      <c r="K53" s="4"/>
      <c r="L53" s="4"/>
      <c r="M53" s="4"/>
      <c r="N53" s="4"/>
    </row>
    <row r="54" spans="2:14" x14ac:dyDescent="0.3">
      <c r="C54" s="4"/>
      <c r="D54" s="4"/>
      <c r="E54" s="4"/>
      <c r="F54" s="4"/>
      <c r="G54" s="4"/>
      <c r="H54" s="4"/>
      <c r="I54" s="4"/>
      <c r="J54" s="4"/>
      <c r="K54" s="4"/>
      <c r="L54" s="4"/>
      <c r="M54" s="4"/>
      <c r="N54" s="4"/>
    </row>
    <row r="55" spans="2:14" x14ac:dyDescent="0.3">
      <c r="C55" s="4"/>
      <c r="D55" s="4"/>
      <c r="E55" s="4"/>
      <c r="F55" s="4"/>
      <c r="G55" s="4"/>
      <c r="H55" s="4"/>
      <c r="I55" s="4"/>
      <c r="J55" s="4"/>
      <c r="K55" s="4"/>
      <c r="L55" s="4"/>
      <c r="M55" s="4"/>
      <c r="N55" s="4"/>
    </row>
    <row r="56" spans="2:14" x14ac:dyDescent="0.3">
      <c r="C56" s="4"/>
      <c r="D56" s="4"/>
      <c r="E56" s="4"/>
      <c r="F56" s="4"/>
      <c r="G56" s="4"/>
      <c r="H56" s="4"/>
      <c r="I56" s="4"/>
      <c r="J56" s="4"/>
      <c r="K56" s="4"/>
      <c r="L56" s="4"/>
      <c r="M56" s="4"/>
      <c r="N56" s="4"/>
    </row>
    <row r="57" spans="2:14" x14ac:dyDescent="0.3">
      <c r="C57" s="4"/>
      <c r="D57" s="4"/>
      <c r="E57" s="4"/>
      <c r="F57" s="4"/>
      <c r="G57" s="4"/>
      <c r="H57" s="4"/>
      <c r="I57" s="4"/>
      <c r="J57" s="4"/>
      <c r="K57" s="4"/>
      <c r="L57" s="4"/>
      <c r="M57" s="4"/>
      <c r="N57" s="4"/>
    </row>
    <row r="58" spans="2:14" x14ac:dyDescent="0.3">
      <c r="C58" s="4"/>
      <c r="D58" s="4"/>
      <c r="E58" s="4"/>
      <c r="F58" s="4"/>
      <c r="G58" s="4"/>
      <c r="H58" s="4"/>
      <c r="I58" s="4"/>
      <c r="J58" s="4"/>
      <c r="K58" s="4"/>
      <c r="L58" s="4"/>
      <c r="M58" s="4"/>
      <c r="N58" s="4"/>
    </row>
    <row r="59" spans="2:14" x14ac:dyDescent="0.3">
      <c r="C59" s="4"/>
      <c r="D59" s="4"/>
      <c r="E59" s="4"/>
      <c r="F59" s="4"/>
      <c r="G59" s="4"/>
      <c r="H59" s="4"/>
      <c r="I59" s="4"/>
      <c r="J59" s="4"/>
      <c r="K59" s="4"/>
      <c r="L59" s="4"/>
      <c r="M59" s="4"/>
      <c r="N59" s="4"/>
    </row>
    <row r="60" spans="2:14" x14ac:dyDescent="0.3">
      <c r="C60" s="4"/>
      <c r="D60" s="4"/>
      <c r="E60" s="4"/>
      <c r="F60" s="4"/>
      <c r="G60" s="4"/>
      <c r="H60" s="4"/>
      <c r="I60" s="4"/>
      <c r="J60" s="4"/>
      <c r="K60" s="4"/>
      <c r="L60" s="4"/>
      <c r="M60" s="4"/>
      <c r="N60" s="4"/>
    </row>
    <row r="61" spans="2:14" x14ac:dyDescent="0.3">
      <c r="C61" s="4"/>
      <c r="D61" s="4"/>
      <c r="E61" s="4"/>
      <c r="F61" s="4"/>
      <c r="G61" s="4"/>
      <c r="H61" s="4"/>
      <c r="I61" s="4"/>
      <c r="J61" s="4"/>
      <c r="K61" s="4"/>
      <c r="L61" s="4"/>
      <c r="M61" s="4"/>
      <c r="N61" s="4"/>
    </row>
    <row r="62" spans="2:14" x14ac:dyDescent="0.3">
      <c r="C62" s="4"/>
      <c r="D62" s="4"/>
      <c r="E62" s="4"/>
      <c r="F62" s="4"/>
      <c r="G62" s="4"/>
      <c r="H62" s="4"/>
      <c r="I62" s="4"/>
      <c r="J62" s="4"/>
      <c r="K62" s="4"/>
      <c r="L62" s="4"/>
      <c r="M62" s="4"/>
      <c r="N62" s="4"/>
    </row>
    <row r="63" spans="2:14" x14ac:dyDescent="0.3">
      <c r="C63" s="4"/>
      <c r="D63" s="4"/>
      <c r="E63" s="4"/>
      <c r="F63" s="4"/>
      <c r="G63" s="4"/>
      <c r="H63" s="4"/>
      <c r="I63" s="4"/>
      <c r="J63" s="4"/>
      <c r="K63" s="4"/>
      <c r="L63" s="4"/>
      <c r="M63" s="4"/>
      <c r="N63" s="4"/>
    </row>
    <row r="64" spans="2:14" x14ac:dyDescent="0.3">
      <c r="C64" s="4"/>
      <c r="D64" s="4"/>
      <c r="E64" s="4"/>
      <c r="F64" s="4"/>
      <c r="G64" s="4"/>
      <c r="H64" s="4"/>
      <c r="I64" s="4"/>
      <c r="J64" s="4"/>
      <c r="K64" s="4"/>
      <c r="L64" s="4"/>
      <c r="M64" s="4"/>
      <c r="N64" s="4"/>
    </row>
    <row r="66" spans="2:14" x14ac:dyDescent="0.3">
      <c r="B66" s="3"/>
    </row>
    <row r="67" spans="2:14" x14ac:dyDescent="0.3">
      <c r="C67" s="4"/>
      <c r="D67" s="4"/>
      <c r="E67" s="4"/>
      <c r="F67" s="4"/>
      <c r="G67" s="4"/>
      <c r="H67" s="4"/>
      <c r="I67" s="4"/>
      <c r="J67" s="4"/>
      <c r="K67" s="4"/>
      <c r="L67" s="4"/>
      <c r="M67" s="4"/>
      <c r="N67" s="4"/>
    </row>
    <row r="68" spans="2:14" x14ac:dyDescent="0.3">
      <c r="C68" s="4"/>
      <c r="D68" s="4"/>
      <c r="E68" s="4"/>
      <c r="F68" s="4"/>
      <c r="G68" s="4"/>
      <c r="H68" s="4"/>
      <c r="I68" s="4"/>
      <c r="J68" s="4"/>
      <c r="K68" s="4"/>
      <c r="L68" s="4"/>
      <c r="M68" s="4"/>
      <c r="N68" s="4"/>
    </row>
    <row r="69" spans="2:14" x14ac:dyDescent="0.3">
      <c r="C69" s="4"/>
      <c r="D69" s="4"/>
      <c r="E69" s="4"/>
      <c r="F69" s="4"/>
      <c r="G69" s="4"/>
      <c r="H69" s="4"/>
      <c r="I69" s="4"/>
      <c r="J69" s="4"/>
      <c r="K69" s="4"/>
      <c r="L69" s="4"/>
      <c r="M69" s="4"/>
      <c r="N69" s="4"/>
    </row>
    <row r="70" spans="2:14" x14ac:dyDescent="0.3">
      <c r="C70" s="4"/>
      <c r="D70" s="4"/>
      <c r="E70" s="4"/>
      <c r="F70" s="4"/>
      <c r="G70" s="4"/>
      <c r="H70" s="4"/>
      <c r="I70" s="4"/>
      <c r="J70" s="4"/>
      <c r="K70" s="4"/>
      <c r="L70" s="4"/>
      <c r="M70" s="4"/>
      <c r="N70" s="4"/>
    </row>
    <row r="71" spans="2:14" x14ac:dyDescent="0.3">
      <c r="C71" s="4"/>
      <c r="D71" s="4"/>
      <c r="E71" s="4"/>
      <c r="F71" s="4"/>
      <c r="G71" s="4"/>
      <c r="H71" s="4"/>
      <c r="I71" s="4"/>
      <c r="J71" s="4"/>
      <c r="K71" s="4"/>
      <c r="L71" s="4"/>
      <c r="M71" s="4"/>
      <c r="N71" s="4"/>
    </row>
    <row r="72" spans="2:14" x14ac:dyDescent="0.3">
      <c r="C72" s="4"/>
      <c r="D72" s="4"/>
      <c r="E72" s="4"/>
      <c r="F72" s="4"/>
      <c r="G72" s="4"/>
      <c r="H72" s="4"/>
      <c r="I72" s="4"/>
      <c r="J72" s="4"/>
      <c r="K72" s="4"/>
      <c r="L72" s="4"/>
      <c r="M72" s="4"/>
      <c r="N72" s="4"/>
    </row>
    <row r="73" spans="2:14" x14ac:dyDescent="0.3">
      <c r="C73" s="4"/>
      <c r="D73" s="4"/>
      <c r="E73" s="4"/>
      <c r="F73" s="4"/>
      <c r="G73" s="4"/>
      <c r="H73" s="4"/>
      <c r="I73" s="4"/>
      <c r="J73" s="4"/>
      <c r="K73" s="4"/>
      <c r="L73" s="4"/>
      <c r="M73" s="4"/>
      <c r="N73" s="4"/>
    </row>
    <row r="74" spans="2:14" x14ac:dyDescent="0.3">
      <c r="C74" s="4"/>
      <c r="D74" s="4"/>
      <c r="E74" s="4"/>
      <c r="F74" s="4"/>
      <c r="G74" s="4"/>
      <c r="H74" s="4"/>
      <c r="I74" s="4"/>
      <c r="J74" s="4"/>
      <c r="K74" s="4"/>
      <c r="L74" s="4"/>
      <c r="M74" s="4"/>
      <c r="N74" s="4"/>
    </row>
    <row r="75" spans="2:14" x14ac:dyDescent="0.3">
      <c r="C75" s="4"/>
      <c r="D75" s="4"/>
      <c r="E75" s="4"/>
      <c r="F75" s="4"/>
      <c r="G75" s="4"/>
      <c r="H75" s="4"/>
      <c r="I75" s="4"/>
      <c r="J75" s="4"/>
      <c r="K75" s="4"/>
      <c r="L75" s="4"/>
      <c r="M75" s="4"/>
      <c r="N75" s="4"/>
    </row>
    <row r="76" spans="2:14" x14ac:dyDescent="0.3">
      <c r="C76" s="4"/>
      <c r="D76" s="4"/>
      <c r="E76" s="4"/>
      <c r="F76" s="4"/>
      <c r="G76" s="4"/>
      <c r="H76" s="4"/>
      <c r="I76" s="4"/>
      <c r="J76" s="4"/>
      <c r="K76" s="4"/>
      <c r="L76" s="4"/>
      <c r="M76" s="4"/>
      <c r="N76" s="4"/>
    </row>
    <row r="77" spans="2:14" x14ac:dyDescent="0.3">
      <c r="C77" s="4"/>
      <c r="D77" s="4"/>
      <c r="E77" s="4"/>
      <c r="F77" s="4"/>
      <c r="G77" s="4"/>
      <c r="H77" s="4"/>
      <c r="I77" s="4"/>
      <c r="J77" s="4"/>
      <c r="K77" s="4"/>
      <c r="L77" s="4"/>
      <c r="M77" s="4"/>
      <c r="N77" s="4"/>
    </row>
    <row r="78" spans="2:14" x14ac:dyDescent="0.3">
      <c r="C78" s="4"/>
      <c r="D78" s="4"/>
      <c r="E78" s="4"/>
      <c r="F78" s="4"/>
      <c r="G78" s="4"/>
      <c r="H78" s="4"/>
      <c r="I78" s="4"/>
      <c r="J78" s="4"/>
      <c r="K78" s="4"/>
      <c r="L78" s="4"/>
      <c r="M78" s="4"/>
      <c r="N78" s="4"/>
    </row>
    <row r="79" spans="2:14" x14ac:dyDescent="0.3">
      <c r="C79" s="4"/>
      <c r="D79" s="4"/>
      <c r="E79" s="4"/>
      <c r="F79" s="4"/>
      <c r="G79" s="4"/>
      <c r="H79" s="4"/>
      <c r="I79" s="4"/>
      <c r="J79" s="4"/>
      <c r="K79" s="4"/>
      <c r="L79" s="4"/>
      <c r="M79" s="4"/>
      <c r="N79" s="4"/>
    </row>
    <row r="80" spans="2:14" x14ac:dyDescent="0.3">
      <c r="C80" s="4"/>
      <c r="D80" s="4"/>
      <c r="E80" s="4"/>
      <c r="F80" s="4"/>
      <c r="G80" s="4"/>
      <c r="H80" s="4"/>
      <c r="I80" s="4"/>
      <c r="J80" s="4"/>
      <c r="K80" s="4"/>
      <c r="L80" s="4"/>
      <c r="M80" s="4"/>
      <c r="N80"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657D-EE16-4FC2-8EBF-3A887265E3EB}">
  <sheetPr codeName="Sheet2"/>
  <dimension ref="B1:O62"/>
  <sheetViews>
    <sheetView workbookViewId="0"/>
  </sheetViews>
  <sheetFormatPr defaultRowHeight="14.4" x14ac:dyDescent="0.3"/>
  <cols>
    <col min="1" max="1" width="3.33203125" customWidth="1"/>
    <col min="2" max="2" width="14" customWidth="1"/>
    <col min="3" max="3" width="18.44140625" customWidth="1"/>
    <col min="4" max="15" width="12.77734375" customWidth="1"/>
  </cols>
  <sheetData>
    <row r="1" spans="2:15" x14ac:dyDescent="0.3">
      <c r="B1" s="1" t="s">
        <v>49</v>
      </c>
    </row>
    <row r="4" spans="2:15" x14ac:dyDescent="0.3">
      <c r="B4" s="1" t="str">
        <f>Data!B4</f>
        <v>Movie schedule and seating capacity by screen</v>
      </c>
    </row>
    <row r="5" spans="2:15" x14ac:dyDescent="0.3">
      <c r="B5" t="str">
        <f>Data!B5</f>
        <v>Screen</v>
      </c>
      <c r="C5" s="23" t="str">
        <f>Data!C5</f>
        <v>Capacity</v>
      </c>
      <c r="D5" t="str">
        <f>Data!D5</f>
        <v>Jan</v>
      </c>
      <c r="E5" t="str">
        <f>Data!E5</f>
        <v>Feb</v>
      </c>
      <c r="F5" t="str">
        <f>Data!F5</f>
        <v>Mar</v>
      </c>
      <c r="G5" t="str">
        <f>Data!G5</f>
        <v>Apr</v>
      </c>
      <c r="H5" t="str">
        <f>Data!H5</f>
        <v>May</v>
      </c>
      <c r="I5" t="str">
        <f>Data!I5</f>
        <v>Jun</v>
      </c>
      <c r="J5" t="str">
        <f>Data!J5</f>
        <v>Jul</v>
      </c>
      <c r="K5" t="str">
        <f>Data!K5</f>
        <v>Aug</v>
      </c>
      <c r="L5" t="str">
        <f>Data!L5</f>
        <v>Sep</v>
      </c>
      <c r="M5" t="str">
        <f>Data!M5</f>
        <v>Oct</v>
      </c>
      <c r="N5" t="str">
        <f>Data!N5</f>
        <v>Nov</v>
      </c>
      <c r="O5" t="str">
        <f>Data!O5</f>
        <v>Dec</v>
      </c>
    </row>
    <row r="6" spans="2:15" x14ac:dyDescent="0.3">
      <c r="B6" s="23">
        <f>Data!B6</f>
        <v>1</v>
      </c>
      <c r="C6" s="23">
        <f>Data!C6</f>
        <v>850</v>
      </c>
      <c r="D6" t="str">
        <f>Data!D6</f>
        <v>Major 1</v>
      </c>
      <c r="E6" t="str">
        <f>Data!E6</f>
        <v>Major 1</v>
      </c>
      <c r="F6" t="str">
        <f>Data!F6</f>
        <v>Regular 3</v>
      </c>
      <c r="G6" t="str">
        <f>Data!G6</f>
        <v>Major 2</v>
      </c>
      <c r="H6" t="str">
        <f>Data!H6</f>
        <v>Major 2</v>
      </c>
      <c r="I6" t="str">
        <f>Data!I6</f>
        <v>Regular 6</v>
      </c>
      <c r="J6" t="str">
        <f>Data!J6</f>
        <v>Epic 1</v>
      </c>
      <c r="K6" t="str">
        <f>Data!K6</f>
        <v>Epic 1</v>
      </c>
      <c r="L6" t="str">
        <f>Data!L6</f>
        <v>Regular 7</v>
      </c>
      <c r="M6" t="str">
        <f>Data!M6</f>
        <v>Major</v>
      </c>
      <c r="N6" t="str">
        <f>Data!N6</f>
        <v>Major 3</v>
      </c>
      <c r="O6" t="str">
        <f>Data!O6</f>
        <v>Regular 10</v>
      </c>
    </row>
    <row r="7" spans="2:15" x14ac:dyDescent="0.3">
      <c r="B7" s="23">
        <f>Data!B7</f>
        <v>2</v>
      </c>
      <c r="C7" s="23">
        <f>Data!C7</f>
        <v>450</v>
      </c>
      <c r="D7" t="str">
        <f>Data!D7</f>
        <v>Major 1</v>
      </c>
      <c r="E7" t="str">
        <f>Data!E7</f>
        <v>Regular 1</v>
      </c>
      <c r="F7" t="str">
        <f>Data!F7</f>
        <v>Major 1</v>
      </c>
      <c r="G7" t="str">
        <f>Data!G7</f>
        <v>Major 2</v>
      </c>
      <c r="H7" t="str">
        <f>Data!H7</f>
        <v>Regular 5</v>
      </c>
      <c r="I7" t="str">
        <f>Data!I7</f>
        <v>Major 2</v>
      </c>
      <c r="J7" t="str">
        <f>Data!J7</f>
        <v>Epic 1</v>
      </c>
      <c r="K7" t="str">
        <f>Data!K7</f>
        <v>Epic 1</v>
      </c>
      <c r="L7" t="str">
        <f>Data!L7</f>
        <v>Epic 1</v>
      </c>
      <c r="M7" t="str">
        <f>Data!M7</f>
        <v>Major 3</v>
      </c>
      <c r="N7" t="str">
        <f>Data!N7</f>
        <v>Regular 10</v>
      </c>
      <c r="O7" t="str">
        <f>Data!O7</f>
        <v>Major 3</v>
      </c>
    </row>
    <row r="8" spans="2:15" x14ac:dyDescent="0.3">
      <c r="B8" s="23">
        <f>Data!B8</f>
        <v>3</v>
      </c>
      <c r="C8" s="23">
        <f>Data!C8</f>
        <v>200</v>
      </c>
      <c r="D8" t="str">
        <f>Data!D8</f>
        <v>Regular 1</v>
      </c>
      <c r="E8" t="str">
        <f>Data!E8</f>
        <v>Regular 2</v>
      </c>
      <c r="F8" t="str">
        <f>Data!F8</f>
        <v>Regular 3</v>
      </c>
      <c r="G8" t="str">
        <f>Data!G8</f>
        <v>Regular 4</v>
      </c>
      <c r="H8" t="str">
        <f>Data!H8</f>
        <v>Regular 4</v>
      </c>
      <c r="I8" t="str">
        <f>Data!I8</f>
        <v>Regular 5</v>
      </c>
      <c r="J8" t="str">
        <f>Data!J8</f>
        <v>Epic 1</v>
      </c>
      <c r="K8" t="str">
        <f>Data!K8</f>
        <v>Regular 7</v>
      </c>
      <c r="L8" t="str">
        <f>Data!L8</f>
        <v>Epic 1</v>
      </c>
      <c r="M8" t="str">
        <f>Data!M8</f>
        <v>Epic 1</v>
      </c>
      <c r="N8" t="str">
        <f>Data!N8</f>
        <v>Regular 9</v>
      </c>
      <c r="O8" t="str">
        <f>Data!O8</f>
        <v>Regular 10</v>
      </c>
    </row>
    <row r="9" spans="2:15" x14ac:dyDescent="0.3">
      <c r="B9" s="23">
        <f>Data!B9</f>
        <v>4</v>
      </c>
      <c r="C9" s="23">
        <f>Data!C9</f>
        <v>150</v>
      </c>
      <c r="D9" t="str">
        <f>Data!D9</f>
        <v>Regular 2</v>
      </c>
      <c r="E9" t="str">
        <f>Data!E9</f>
        <v>Regular 2</v>
      </c>
      <c r="F9" t="str">
        <f>Data!F9</f>
        <v>Regular 1</v>
      </c>
      <c r="G9" t="str">
        <f>Data!G9</f>
        <v>Regular 3</v>
      </c>
      <c r="H9" t="str">
        <f>Data!H9</f>
        <v>Regular 4</v>
      </c>
      <c r="I9" t="str">
        <f>Data!I9</f>
        <v>Regular 4</v>
      </c>
      <c r="J9" t="str">
        <f>Data!J9</f>
        <v>Regular 6</v>
      </c>
      <c r="K9" t="str">
        <f>Data!K9</f>
        <v>Regular 8</v>
      </c>
      <c r="L9" t="str">
        <f>Data!L9</f>
        <v>Regular 8</v>
      </c>
      <c r="M9" t="str">
        <f>Data!M9</f>
        <v>Regular 9</v>
      </c>
      <c r="N9" t="str">
        <f>Data!N9</f>
        <v>Regular 9</v>
      </c>
      <c r="O9" t="str">
        <f>Data!O9</f>
        <v>Regular 9</v>
      </c>
    </row>
    <row r="11" spans="2:15" x14ac:dyDescent="0.3">
      <c r="B11" s="15" t="s">
        <v>31</v>
      </c>
    </row>
    <row r="12" spans="2:15" ht="43.2" x14ac:dyDescent="0.3">
      <c r="C12" s="27" t="s">
        <v>85</v>
      </c>
    </row>
    <row r="13" spans="2:15" x14ac:dyDescent="0.3">
      <c r="B13" t="s">
        <v>86</v>
      </c>
      <c r="C13">
        <f>COUNTIF($D$6:$O$9,B13)</f>
        <v>8</v>
      </c>
      <c r="E13" t="s">
        <v>30</v>
      </c>
    </row>
    <row r="14" spans="2:15" x14ac:dyDescent="0.3">
      <c r="B14" t="s">
        <v>87</v>
      </c>
      <c r="C14">
        <f t="shared" ref="C14:C26" si="0">COUNTIF($D$6:$O$9,B14)</f>
        <v>4</v>
      </c>
      <c r="E14" t="s">
        <v>93</v>
      </c>
    </row>
    <row r="15" spans="2:15" x14ac:dyDescent="0.3">
      <c r="B15" t="s">
        <v>91</v>
      </c>
      <c r="C15">
        <f t="shared" si="0"/>
        <v>4</v>
      </c>
      <c r="E15" t="s">
        <v>62</v>
      </c>
    </row>
    <row r="16" spans="2:15" x14ac:dyDescent="0.3">
      <c r="B16" t="s">
        <v>92</v>
      </c>
      <c r="C16">
        <f t="shared" si="0"/>
        <v>3</v>
      </c>
    </row>
    <row r="17" spans="2:11" x14ac:dyDescent="0.3">
      <c r="B17" t="s">
        <v>41</v>
      </c>
      <c r="C17">
        <f t="shared" si="0"/>
        <v>3</v>
      </c>
    </row>
    <row r="18" spans="2:11" x14ac:dyDescent="0.3">
      <c r="B18" t="s">
        <v>43</v>
      </c>
      <c r="C18">
        <f t="shared" si="0"/>
        <v>3</v>
      </c>
    </row>
    <row r="19" spans="2:11" x14ac:dyDescent="0.3">
      <c r="B19" t="s">
        <v>37</v>
      </c>
      <c r="C19">
        <f t="shared" si="0"/>
        <v>3</v>
      </c>
    </row>
    <row r="20" spans="2:11" x14ac:dyDescent="0.3">
      <c r="B20" t="s">
        <v>44</v>
      </c>
      <c r="C20">
        <f t="shared" si="0"/>
        <v>4</v>
      </c>
    </row>
    <row r="21" spans="2:11" x14ac:dyDescent="0.3">
      <c r="B21" t="s">
        <v>42</v>
      </c>
      <c r="C21">
        <f t="shared" si="0"/>
        <v>2</v>
      </c>
    </row>
    <row r="22" spans="2:11" x14ac:dyDescent="0.3">
      <c r="B22" t="s">
        <v>38</v>
      </c>
      <c r="C22">
        <f t="shared" si="0"/>
        <v>2</v>
      </c>
    </row>
    <row r="23" spans="2:11" x14ac:dyDescent="0.3">
      <c r="B23" t="s">
        <v>39</v>
      </c>
      <c r="C23">
        <f t="shared" si="0"/>
        <v>2</v>
      </c>
    </row>
    <row r="24" spans="2:11" x14ac:dyDescent="0.3">
      <c r="B24" t="s">
        <v>46</v>
      </c>
      <c r="C24">
        <f t="shared" si="0"/>
        <v>2</v>
      </c>
    </row>
    <row r="25" spans="2:11" x14ac:dyDescent="0.3">
      <c r="B25" t="s">
        <v>45</v>
      </c>
      <c r="C25">
        <f t="shared" si="0"/>
        <v>4</v>
      </c>
    </row>
    <row r="26" spans="2:11" x14ac:dyDescent="0.3">
      <c r="B26" t="s">
        <v>40</v>
      </c>
      <c r="C26">
        <f t="shared" si="0"/>
        <v>3</v>
      </c>
    </row>
    <row r="27" spans="2:11" x14ac:dyDescent="0.3">
      <c r="B27" s="1" t="s">
        <v>21</v>
      </c>
      <c r="C27">
        <f>SUM(C13:C26)</f>
        <v>47</v>
      </c>
      <c r="D27" t="b">
        <f>COUNTA(D6:O9)=C27</f>
        <v>0</v>
      </c>
    </row>
    <row r="29" spans="2:11" x14ac:dyDescent="0.3">
      <c r="B29" s="1" t="str">
        <f>Data!B12</f>
        <v>Projected utilisation rate</v>
      </c>
      <c r="H29" s="1" t="str">
        <f>Data!H12</f>
        <v>Commission arrangement with movie distributors (% of ticket price)</v>
      </c>
    </row>
    <row r="30" spans="2:11" x14ac:dyDescent="0.3">
      <c r="B30" s="23" t="s">
        <v>51</v>
      </c>
      <c r="C30" s="22" t="str">
        <f>Data!C13</f>
        <v>R</v>
      </c>
      <c r="D30" s="22" t="str">
        <f>Data!D13</f>
        <v>M</v>
      </c>
      <c r="E30" s="22" t="str">
        <f>Data!E13</f>
        <v>E</v>
      </c>
      <c r="H30" s="23" t="s">
        <v>51</v>
      </c>
      <c r="I30" s="22" t="str">
        <f>Data!I13</f>
        <v>R</v>
      </c>
      <c r="J30" s="22" t="str">
        <f>Data!J13</f>
        <v>M</v>
      </c>
      <c r="K30" s="22" t="str">
        <f>Data!K13</f>
        <v>E</v>
      </c>
    </row>
    <row r="31" spans="2:11" x14ac:dyDescent="0.3">
      <c r="B31" s="23">
        <v>1</v>
      </c>
      <c r="C31" s="4">
        <f>Data!C14</f>
        <v>0.85</v>
      </c>
      <c r="D31" s="4">
        <f>Data!D14</f>
        <v>0.93</v>
      </c>
      <c r="E31" s="4">
        <f>Data!E14</f>
        <v>0.98</v>
      </c>
      <c r="H31" s="23">
        <v>1</v>
      </c>
      <c r="I31" s="4">
        <f>Data!I14</f>
        <v>0.45</v>
      </c>
      <c r="J31" s="4">
        <f>Data!J14</f>
        <v>0.55000000000000004</v>
      </c>
      <c r="K31" s="4">
        <f>Data!K14</f>
        <v>0.65</v>
      </c>
    </row>
    <row r="32" spans="2:11" x14ac:dyDescent="0.3">
      <c r="B32" s="23">
        <v>2</v>
      </c>
      <c r="C32" s="4">
        <f>Data!C15</f>
        <v>0.65</v>
      </c>
      <c r="D32" s="4">
        <f>Data!D15</f>
        <v>0.8</v>
      </c>
      <c r="E32" s="4">
        <f>Data!E15</f>
        <v>0.85</v>
      </c>
      <c r="H32" s="23">
        <v>2</v>
      </c>
      <c r="I32" s="4">
        <f>Data!I15</f>
        <v>0.35</v>
      </c>
      <c r="J32" s="4">
        <f>Data!J15</f>
        <v>0.45</v>
      </c>
      <c r="K32" s="4">
        <f>Data!K15</f>
        <v>0.55000000000000004</v>
      </c>
    </row>
    <row r="33" spans="2:11" x14ac:dyDescent="0.3">
      <c r="B33" s="23">
        <v>3</v>
      </c>
      <c r="C33" s="4">
        <f>Data!C16</f>
        <v>0.45</v>
      </c>
      <c r="D33" s="4">
        <f>Data!D16</f>
        <v>0.65</v>
      </c>
      <c r="E33" s="4">
        <f>Data!E16</f>
        <v>0.7</v>
      </c>
      <c r="H33" s="23">
        <v>3</v>
      </c>
      <c r="I33" s="4">
        <f>Data!I16</f>
        <v>0.15</v>
      </c>
      <c r="J33" s="4">
        <f>Data!J16</f>
        <v>0.3</v>
      </c>
      <c r="K33" s="4">
        <f>Data!K16</f>
        <v>0.45</v>
      </c>
    </row>
    <row r="34" spans="2:11" x14ac:dyDescent="0.3">
      <c r="B34" s="23">
        <v>4</v>
      </c>
      <c r="C34" s="4">
        <f>Data!C17</f>
        <v>0</v>
      </c>
      <c r="D34" s="4">
        <f>Data!D17</f>
        <v>0</v>
      </c>
      <c r="E34" s="4">
        <f>Data!E17</f>
        <v>0.6</v>
      </c>
      <c r="H34" s="23">
        <v>4</v>
      </c>
      <c r="I34" s="4">
        <f>Data!I17</f>
        <v>0</v>
      </c>
      <c r="J34" s="4">
        <f>Data!J17</f>
        <v>0</v>
      </c>
      <c r="K34" s="4">
        <f>Data!K17</f>
        <v>0.2</v>
      </c>
    </row>
    <row r="36" spans="2:11" x14ac:dyDescent="0.3">
      <c r="B36" s="15" t="s">
        <v>31</v>
      </c>
    </row>
    <row r="37" spans="2:11" x14ac:dyDescent="0.3">
      <c r="B37" t="s">
        <v>94</v>
      </c>
    </row>
    <row r="38" spans="2:11" x14ac:dyDescent="0.3">
      <c r="B38" t="s">
        <v>63</v>
      </c>
    </row>
    <row r="39" spans="2:11" x14ac:dyDescent="0.3">
      <c r="B39" t="s">
        <v>67</v>
      </c>
    </row>
    <row r="40" spans="2:11" x14ac:dyDescent="0.3">
      <c r="B40" t="s">
        <v>32</v>
      </c>
    </row>
    <row r="43" spans="2:11" ht="57.6" x14ac:dyDescent="0.3">
      <c r="B43" s="27" t="str">
        <f>Data!B20</f>
        <v>A. Number of movies seen over a year</v>
      </c>
      <c r="C43" s="27" t="str">
        <f>Data!C20</f>
        <v>B. Unique Cinemagoers (annual)</v>
      </c>
      <c r="D43" s="27" t="str">
        <f>Data!D20</f>
        <v>C. Proportion buying snacks</v>
      </c>
      <c r="E43" s="27" t="s">
        <v>82</v>
      </c>
      <c r="F43" s="27" t="s">
        <v>83</v>
      </c>
      <c r="G43" s="27"/>
    </row>
    <row r="44" spans="2:11" x14ac:dyDescent="0.3">
      <c r="B44">
        <f>Data!B21</f>
        <v>1</v>
      </c>
      <c r="C44" s="5">
        <f>Data!C21</f>
        <v>185220</v>
      </c>
      <c r="D44" s="4">
        <f>Data!D21</f>
        <v>0.22257935182091537</v>
      </c>
      <c r="E44" s="5">
        <f>C44*B44</f>
        <v>185220</v>
      </c>
      <c r="F44" s="7">
        <f>E44/$E$58</f>
        <v>6.5118339450702445E-2</v>
      </c>
      <c r="G44" s="4"/>
    </row>
    <row r="45" spans="2:11" x14ac:dyDescent="0.3">
      <c r="B45">
        <f>Data!B22</f>
        <v>2</v>
      </c>
      <c r="C45" s="5">
        <f>Data!C22</f>
        <v>270000</v>
      </c>
      <c r="D45" s="4">
        <f>Data!D22</f>
        <v>0.28935315736718997</v>
      </c>
      <c r="E45" s="5">
        <f t="shared" ref="E45:E57" si="1">C45*B45</f>
        <v>540000</v>
      </c>
      <c r="F45" s="7">
        <f t="shared" ref="F45:F57" si="2">E45/$E$58</f>
        <v>0.18984938615365143</v>
      </c>
      <c r="G45" s="4"/>
    </row>
    <row r="46" spans="2:11" x14ac:dyDescent="0.3">
      <c r="B46">
        <f>Data!B23</f>
        <v>3</v>
      </c>
      <c r="C46" s="5">
        <f>Data!C23</f>
        <v>180000</v>
      </c>
      <c r="D46" s="4">
        <f>Data!D23</f>
        <v>0.30048212495823579</v>
      </c>
      <c r="E46" s="5">
        <f t="shared" si="1"/>
        <v>540000</v>
      </c>
      <c r="F46" s="7">
        <f t="shared" si="2"/>
        <v>0.18984938615365143</v>
      </c>
      <c r="G46" s="4"/>
    </row>
    <row r="47" spans="2:11" x14ac:dyDescent="0.3">
      <c r="B47">
        <f>Data!B24</f>
        <v>4</v>
      </c>
      <c r="C47" s="5">
        <f>Data!C24</f>
        <v>135000</v>
      </c>
      <c r="D47" s="4">
        <f>Data!D24</f>
        <v>0.39</v>
      </c>
      <c r="E47" s="5">
        <f t="shared" si="1"/>
        <v>540000</v>
      </c>
      <c r="F47" s="7">
        <f t="shared" si="2"/>
        <v>0.18984938615365143</v>
      </c>
      <c r="G47" s="4"/>
    </row>
    <row r="48" spans="2:11" x14ac:dyDescent="0.3">
      <c r="B48">
        <f>Data!B25</f>
        <v>5</v>
      </c>
      <c r="C48" s="5">
        <f>Data!C25</f>
        <v>81000</v>
      </c>
      <c r="D48" s="4">
        <f>Data!D25</f>
        <v>0.35</v>
      </c>
      <c r="E48" s="5">
        <f t="shared" si="1"/>
        <v>405000</v>
      </c>
      <c r="F48" s="7">
        <f t="shared" si="2"/>
        <v>0.14238703961523858</v>
      </c>
      <c r="G48" s="4"/>
    </row>
    <row r="49" spans="2:7" x14ac:dyDescent="0.3">
      <c r="B49">
        <f>Data!B26</f>
        <v>6</v>
      </c>
      <c r="C49" s="5">
        <f>Data!C26</f>
        <v>54000</v>
      </c>
      <c r="D49" s="4">
        <f>Data!D26</f>
        <v>0.42</v>
      </c>
      <c r="E49" s="5">
        <f t="shared" si="1"/>
        <v>324000</v>
      </c>
      <c r="F49" s="7">
        <f t="shared" si="2"/>
        <v>0.11390963169219086</v>
      </c>
      <c r="G49" s="4"/>
    </row>
    <row r="50" spans="2:7" x14ac:dyDescent="0.3">
      <c r="B50">
        <f>Data!B27</f>
        <v>7</v>
      </c>
      <c r="C50" s="5">
        <f>Data!C27</f>
        <v>27000</v>
      </c>
      <c r="D50" s="4">
        <f>Data!D27</f>
        <v>0.4</v>
      </c>
      <c r="E50" s="5">
        <f t="shared" si="1"/>
        <v>189000</v>
      </c>
      <c r="F50" s="7">
        <f t="shared" si="2"/>
        <v>6.6447285153777999E-2</v>
      </c>
      <c r="G50" s="4"/>
    </row>
    <row r="51" spans="2:7" x14ac:dyDescent="0.3">
      <c r="B51">
        <f>Data!B28</f>
        <v>8</v>
      </c>
      <c r="C51" s="5">
        <f>Data!C28</f>
        <v>5400</v>
      </c>
      <c r="D51" s="4">
        <f>Data!D28</f>
        <v>0.5</v>
      </c>
      <c r="E51" s="5">
        <f t="shared" si="1"/>
        <v>43200</v>
      </c>
      <c r="F51" s="7">
        <f t="shared" si="2"/>
        <v>1.5187950892292116E-2</v>
      </c>
      <c r="G51" s="4"/>
    </row>
    <row r="52" spans="2:7" x14ac:dyDescent="0.3">
      <c r="B52">
        <f>Data!B29</f>
        <v>9</v>
      </c>
      <c r="C52" s="5">
        <f>Data!C29</f>
        <v>3600</v>
      </c>
      <c r="D52" s="4">
        <f>Data!D29</f>
        <v>0.65</v>
      </c>
      <c r="E52" s="5">
        <f t="shared" si="1"/>
        <v>32400</v>
      </c>
      <c r="F52" s="7">
        <f t="shared" si="2"/>
        <v>1.1390963169219085E-2</v>
      </c>
      <c r="G52" s="4"/>
    </row>
    <row r="53" spans="2:7" x14ac:dyDescent="0.3">
      <c r="B53">
        <f>Data!B30</f>
        <v>10</v>
      </c>
      <c r="C53" s="5">
        <f>Data!C30</f>
        <v>1080</v>
      </c>
      <c r="D53" s="4">
        <f>Data!D30</f>
        <v>0.56999999999999995</v>
      </c>
      <c r="E53" s="5">
        <f t="shared" si="1"/>
        <v>10800</v>
      </c>
      <c r="F53" s="7">
        <f t="shared" si="2"/>
        <v>3.7969877230730289E-3</v>
      </c>
      <c r="G53" s="4"/>
    </row>
    <row r="54" spans="2:7" x14ac:dyDescent="0.3">
      <c r="B54">
        <f>Data!B31</f>
        <v>11</v>
      </c>
      <c r="C54" s="5">
        <f>Data!C31</f>
        <v>1080</v>
      </c>
      <c r="D54" s="4">
        <f>Data!D31</f>
        <v>0.68</v>
      </c>
      <c r="E54" s="5">
        <f t="shared" si="1"/>
        <v>11880</v>
      </c>
      <c r="F54" s="7">
        <f t="shared" si="2"/>
        <v>4.176686495380332E-3</v>
      </c>
      <c r="G54" s="4"/>
    </row>
    <row r="55" spans="2:7" x14ac:dyDescent="0.3">
      <c r="B55">
        <f>Data!B32</f>
        <v>12</v>
      </c>
      <c r="C55" s="5">
        <f>Data!C32</f>
        <v>900</v>
      </c>
      <c r="D55" s="4">
        <f>Data!D32</f>
        <v>0.59</v>
      </c>
      <c r="E55" s="5">
        <f t="shared" si="1"/>
        <v>10800</v>
      </c>
      <c r="F55" s="7">
        <f t="shared" si="2"/>
        <v>3.7969877230730289E-3</v>
      </c>
      <c r="G55" s="4"/>
    </row>
    <row r="56" spans="2:7" x14ac:dyDescent="0.3">
      <c r="B56">
        <f>Data!B33</f>
        <v>13</v>
      </c>
      <c r="C56" s="5">
        <f>Data!C33</f>
        <v>540</v>
      </c>
      <c r="D56" s="4">
        <f>Data!D33</f>
        <v>0.7</v>
      </c>
      <c r="E56" s="5">
        <f t="shared" si="1"/>
        <v>7020</v>
      </c>
      <c r="F56" s="7">
        <f t="shared" si="2"/>
        <v>2.4680420199974687E-3</v>
      </c>
      <c r="G56" s="4"/>
    </row>
    <row r="57" spans="2:7" x14ac:dyDescent="0.3">
      <c r="B57">
        <f>Data!B34</f>
        <v>14</v>
      </c>
      <c r="C57" s="5">
        <f>Data!C34</f>
        <v>360</v>
      </c>
      <c r="D57" s="4">
        <f>Data!D34</f>
        <v>0.71</v>
      </c>
      <c r="E57" s="5">
        <f t="shared" si="1"/>
        <v>5040</v>
      </c>
      <c r="F57" s="7">
        <f t="shared" si="2"/>
        <v>1.7719276041007468E-3</v>
      </c>
      <c r="G57" s="4"/>
    </row>
    <row r="58" spans="2:7" x14ac:dyDescent="0.3">
      <c r="C58" s="5">
        <f>SUM(C44:C57)</f>
        <v>945180</v>
      </c>
      <c r="E58" s="5">
        <f>SUM(E44:E57)</f>
        <v>2844360</v>
      </c>
    </row>
    <row r="59" spans="2:7" x14ac:dyDescent="0.3">
      <c r="C59" s="9"/>
      <c r="E59" s="9"/>
    </row>
    <row r="60" spans="2:7" x14ac:dyDescent="0.3">
      <c r="B60" s="15" t="s">
        <v>31</v>
      </c>
    </row>
    <row r="61" spans="2:7" x14ac:dyDescent="0.3">
      <c r="B61" t="s">
        <v>33</v>
      </c>
    </row>
    <row r="62" spans="2:7" x14ac:dyDescent="0.3">
      <c r="B62" t="s">
        <v>74</v>
      </c>
    </row>
  </sheetData>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6A76-AF43-4215-9998-81B3FE02EBD3}">
  <sheetPr codeName="Sheet3"/>
  <dimension ref="B1:E18"/>
  <sheetViews>
    <sheetView zoomScaleNormal="100" workbookViewId="0"/>
  </sheetViews>
  <sheetFormatPr defaultRowHeight="14.4" x14ac:dyDescent="0.3"/>
  <cols>
    <col min="1" max="1" width="2.33203125" customWidth="1"/>
    <col min="2" max="2" width="32.5546875" bestFit="1" customWidth="1"/>
    <col min="3" max="4" width="13.109375" customWidth="1"/>
  </cols>
  <sheetData>
    <row r="1" spans="2:5" x14ac:dyDescent="0.3">
      <c r="B1" s="1" t="s">
        <v>50</v>
      </c>
    </row>
    <row r="3" spans="2:5" x14ac:dyDescent="0.3">
      <c r="C3" s="22" t="s">
        <v>19</v>
      </c>
      <c r="D3" s="22" t="s">
        <v>95</v>
      </c>
    </row>
    <row r="4" spans="2:5" x14ac:dyDescent="0.3">
      <c r="B4" t="s">
        <v>20</v>
      </c>
      <c r="C4" s="5">
        <v>6</v>
      </c>
      <c r="D4" s="5"/>
    </row>
    <row r="5" spans="2:5" x14ac:dyDescent="0.3">
      <c r="B5" t="s">
        <v>17</v>
      </c>
      <c r="C5" s="5">
        <v>30</v>
      </c>
      <c r="D5" s="5"/>
    </row>
    <row r="6" spans="2:5" x14ac:dyDescent="0.3">
      <c r="B6" t="s">
        <v>14</v>
      </c>
      <c r="C6" s="31">
        <v>13</v>
      </c>
      <c r="D6" s="5"/>
    </row>
    <row r="7" spans="2:5" x14ac:dyDescent="0.3">
      <c r="B7" t="s">
        <v>15</v>
      </c>
      <c r="C7" s="31">
        <v>22</v>
      </c>
      <c r="D7" s="5"/>
    </row>
    <row r="8" spans="2:5" x14ac:dyDescent="0.3">
      <c r="C8" s="5"/>
      <c r="D8" s="5"/>
    </row>
    <row r="9" spans="2:5" x14ac:dyDescent="0.3">
      <c r="B9" t="s">
        <v>13</v>
      </c>
      <c r="C9" s="5">
        <v>32</v>
      </c>
      <c r="D9" s="5"/>
    </row>
    <row r="10" spans="2:5" x14ac:dyDescent="0.3">
      <c r="B10" t="s">
        <v>16</v>
      </c>
      <c r="C10" s="31">
        <v>25</v>
      </c>
      <c r="D10" s="5"/>
    </row>
    <row r="11" spans="2:5" x14ac:dyDescent="0.3">
      <c r="B11" t="s">
        <v>84</v>
      </c>
      <c r="C11" s="5">
        <v>8</v>
      </c>
      <c r="D11" s="5"/>
    </row>
    <row r="12" spans="2:5" x14ac:dyDescent="0.3">
      <c r="B12" t="s">
        <v>76</v>
      </c>
      <c r="C12" s="5">
        <v>300000</v>
      </c>
      <c r="D12" s="5"/>
    </row>
    <row r="13" spans="2:5" x14ac:dyDescent="0.3">
      <c r="B13" t="s">
        <v>77</v>
      </c>
      <c r="C13" s="5">
        <v>2</v>
      </c>
      <c r="D13" s="5"/>
    </row>
    <row r="14" spans="2:5" x14ac:dyDescent="0.3">
      <c r="C14" s="5"/>
      <c r="D14" s="5"/>
    </row>
    <row r="15" spans="2:5" x14ac:dyDescent="0.3">
      <c r="B15" t="s">
        <v>96</v>
      </c>
      <c r="C15" s="5">
        <v>0</v>
      </c>
      <c r="D15" s="32">
        <v>74</v>
      </c>
    </row>
    <row r="16" spans="2:5" ht="28.8" x14ac:dyDescent="0.3">
      <c r="B16" s="3" t="s">
        <v>97</v>
      </c>
      <c r="C16" s="5">
        <v>15</v>
      </c>
      <c r="D16" s="14">
        <v>5</v>
      </c>
      <c r="E16" t="s">
        <v>98</v>
      </c>
    </row>
    <row r="17" spans="2:4" x14ac:dyDescent="0.3">
      <c r="B17" t="s">
        <v>78</v>
      </c>
      <c r="C17" s="2">
        <v>0</v>
      </c>
      <c r="D17" s="33">
        <v>0.2</v>
      </c>
    </row>
    <row r="18" spans="2:4" x14ac:dyDescent="0.3">
      <c r="B18" t="s">
        <v>99</v>
      </c>
      <c r="C18" s="2">
        <v>0</v>
      </c>
      <c r="D18" s="33">
        <v>0.1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34D6-6902-495C-B8A1-80EBD8D5C408}">
  <sheetPr codeName="Sheet4"/>
  <dimension ref="B1:P226"/>
  <sheetViews>
    <sheetView zoomScale="85" zoomScaleNormal="85" workbookViewId="0"/>
  </sheetViews>
  <sheetFormatPr defaultColWidth="9.109375" defaultRowHeight="14.4" x14ac:dyDescent="0.3"/>
  <cols>
    <col min="1" max="1" width="3.33203125" customWidth="1"/>
    <col min="2" max="2" width="22.6640625" customWidth="1"/>
    <col min="3" max="8" width="21.44140625" bestFit="1" customWidth="1"/>
    <col min="9" max="12" width="26.88671875" bestFit="1" customWidth="1"/>
    <col min="13" max="14" width="21.44140625" bestFit="1" customWidth="1"/>
    <col min="15" max="15" width="14.44140625" bestFit="1" customWidth="1"/>
    <col min="16" max="26" width="10.5546875" bestFit="1" customWidth="1"/>
  </cols>
  <sheetData>
    <row r="1" spans="2:14" x14ac:dyDescent="0.3">
      <c r="B1" s="1" t="s">
        <v>100</v>
      </c>
    </row>
    <row r="5" spans="2:14" x14ac:dyDescent="0.3">
      <c r="B5" s="1" t="s">
        <v>61</v>
      </c>
    </row>
    <row r="6" spans="2:14" x14ac:dyDescent="0.3">
      <c r="B6" s="23" t="s">
        <v>60</v>
      </c>
      <c r="C6" t="s">
        <v>1</v>
      </c>
      <c r="D6" t="s">
        <v>2</v>
      </c>
      <c r="E6" t="s">
        <v>3</v>
      </c>
      <c r="F6" t="s">
        <v>4</v>
      </c>
      <c r="G6" t="s">
        <v>5</v>
      </c>
      <c r="H6" t="s">
        <v>6</v>
      </c>
      <c r="I6" t="s">
        <v>7</v>
      </c>
      <c r="J6" t="s">
        <v>8</v>
      </c>
      <c r="K6" t="s">
        <v>9</v>
      </c>
      <c r="L6" t="s">
        <v>10</v>
      </c>
      <c r="M6" t="s">
        <v>11</v>
      </c>
      <c r="N6" t="s">
        <v>12</v>
      </c>
    </row>
    <row r="7" spans="2:14" x14ac:dyDescent="0.3">
      <c r="B7" s="23">
        <f>Data_checks!$B6</f>
        <v>1</v>
      </c>
      <c r="C7" t="str">
        <f>Data_checks!D6</f>
        <v>Major 1</v>
      </c>
      <c r="D7" t="str">
        <f>Data_checks!E6</f>
        <v>Major 1</v>
      </c>
      <c r="E7" t="str">
        <f>Data_checks!F6</f>
        <v>Regular 3</v>
      </c>
      <c r="F7" t="str">
        <f>Data_checks!G6</f>
        <v>Major 2</v>
      </c>
      <c r="G7" t="str">
        <f>Data_checks!H6</f>
        <v>Major 2</v>
      </c>
      <c r="H7" t="str">
        <f>Data_checks!I6</f>
        <v>Regular 6</v>
      </c>
      <c r="I7" t="str">
        <f>Data_checks!J6</f>
        <v>Epic 1</v>
      </c>
      <c r="J7" t="str">
        <f>Data_checks!K6</f>
        <v>Epic 1</v>
      </c>
      <c r="K7" t="str">
        <f>Data_checks!L6</f>
        <v>Regular 7</v>
      </c>
      <c r="L7" t="str">
        <f>Data_checks!M6</f>
        <v>Major</v>
      </c>
      <c r="M7" t="str">
        <f>Data_checks!N6</f>
        <v>Major 3</v>
      </c>
      <c r="N7" t="str">
        <f>Data_checks!O6</f>
        <v>Regular 10</v>
      </c>
    </row>
    <row r="8" spans="2:14" x14ac:dyDescent="0.3">
      <c r="B8" s="23">
        <f>Data_checks!$B7</f>
        <v>2</v>
      </c>
      <c r="C8" t="str">
        <f>Data_checks!D7</f>
        <v>Major 1</v>
      </c>
      <c r="D8" t="str">
        <f>Data_checks!E7</f>
        <v>Regular 1</v>
      </c>
      <c r="E8" t="str">
        <f>Data_checks!F7</f>
        <v>Major 1</v>
      </c>
      <c r="F8" t="str">
        <f>Data_checks!G7</f>
        <v>Major 2</v>
      </c>
      <c r="G8" t="str">
        <f>Data_checks!H7</f>
        <v>Regular 5</v>
      </c>
      <c r="H8" t="str">
        <f>Data_checks!I7</f>
        <v>Major 2</v>
      </c>
      <c r="I8" t="str">
        <f>Data_checks!J7</f>
        <v>Epic 1</v>
      </c>
      <c r="J8" t="str">
        <f>Data_checks!K7</f>
        <v>Epic 1</v>
      </c>
      <c r="K8" t="str">
        <f>Data_checks!L7</f>
        <v>Epic 1</v>
      </c>
      <c r="L8" t="str">
        <f>Data_checks!M7</f>
        <v>Major 3</v>
      </c>
      <c r="M8" t="str">
        <f>Data_checks!N7</f>
        <v>Regular 10</v>
      </c>
      <c r="N8" t="str">
        <f>Data_checks!O7</f>
        <v>Major 3</v>
      </c>
    </row>
    <row r="9" spans="2:14" x14ac:dyDescent="0.3">
      <c r="B9" s="23">
        <f>Data_checks!$B8</f>
        <v>3</v>
      </c>
      <c r="C9" t="str">
        <f>Data_checks!D8</f>
        <v>Regular 1</v>
      </c>
      <c r="D9" t="str">
        <f>Data_checks!E8</f>
        <v>Regular 2</v>
      </c>
      <c r="E9" t="str">
        <f>Data_checks!F8</f>
        <v>Regular 3</v>
      </c>
      <c r="F9" t="str">
        <f>Data_checks!G8</f>
        <v>Regular 4</v>
      </c>
      <c r="G9" t="str">
        <f>Data_checks!H8</f>
        <v>Regular 4</v>
      </c>
      <c r="H9" t="str">
        <f>Data_checks!I8</f>
        <v>Regular 5</v>
      </c>
      <c r="I9" t="str">
        <f>Data_checks!J8</f>
        <v>Epic 1</v>
      </c>
      <c r="J9" t="str">
        <f>Data_checks!K8</f>
        <v>Regular 7</v>
      </c>
      <c r="K9" t="str">
        <f>Data_checks!L8</f>
        <v>Epic 1</v>
      </c>
      <c r="L9" t="str">
        <f>Data_checks!M8</f>
        <v>Epic 1</v>
      </c>
      <c r="M9" t="str">
        <f>Data_checks!N8</f>
        <v>Regular 9</v>
      </c>
      <c r="N9" t="str">
        <f>Data_checks!O8</f>
        <v>Regular 10</v>
      </c>
    </row>
    <row r="10" spans="2:14" x14ac:dyDescent="0.3">
      <c r="B10" s="23">
        <f>Data_checks!$B9</f>
        <v>4</v>
      </c>
      <c r="C10" t="str">
        <f>Data_checks!D9</f>
        <v>Regular 2</v>
      </c>
      <c r="D10" t="str">
        <f>Data_checks!E9</f>
        <v>Regular 2</v>
      </c>
      <c r="E10" t="str">
        <f>Data_checks!F9</f>
        <v>Regular 1</v>
      </c>
      <c r="F10" t="str">
        <f>Data_checks!G9</f>
        <v>Regular 3</v>
      </c>
      <c r="G10" t="str">
        <f>Data_checks!H9</f>
        <v>Regular 4</v>
      </c>
      <c r="H10" t="str">
        <f>Data_checks!I9</f>
        <v>Regular 4</v>
      </c>
      <c r="I10" t="str">
        <f>Data_checks!J9</f>
        <v>Regular 6</v>
      </c>
      <c r="J10" t="str">
        <f>Data_checks!K9</f>
        <v>Regular 8</v>
      </c>
      <c r="K10" t="str">
        <f>Data_checks!L9</f>
        <v>Regular 8</v>
      </c>
      <c r="L10" t="str">
        <f>Data_checks!M9</f>
        <v>Regular 9</v>
      </c>
      <c r="M10" t="str">
        <f>Data_checks!N9</f>
        <v>Regular 9</v>
      </c>
      <c r="N10" t="str">
        <f>Data_checks!O9</f>
        <v>Regular 9</v>
      </c>
    </row>
    <row r="12" spans="2:14" x14ac:dyDescent="0.3">
      <c r="B12" s="1" t="s">
        <v>54</v>
      </c>
    </row>
    <row r="13" spans="2:14" x14ac:dyDescent="0.3">
      <c r="B13" s="23" t="s">
        <v>60</v>
      </c>
      <c r="C13" s="22" t="str">
        <f>C6</f>
        <v>Jan</v>
      </c>
      <c r="D13" s="22" t="str">
        <f t="shared" ref="D13:N13" si="0">D6</f>
        <v>Feb</v>
      </c>
      <c r="E13" s="22" t="str">
        <f t="shared" si="0"/>
        <v>Mar</v>
      </c>
      <c r="F13" s="22" t="str">
        <f t="shared" si="0"/>
        <v>Apr</v>
      </c>
      <c r="G13" s="22" t="str">
        <f t="shared" si="0"/>
        <v>May</v>
      </c>
      <c r="H13" s="22" t="str">
        <f t="shared" si="0"/>
        <v>Jun</v>
      </c>
      <c r="I13" s="22" t="str">
        <f t="shared" si="0"/>
        <v>Jul</v>
      </c>
      <c r="J13" s="22" t="str">
        <f t="shared" si="0"/>
        <v>Aug</v>
      </c>
      <c r="K13" s="22" t="str">
        <f t="shared" si="0"/>
        <v>Sep</v>
      </c>
      <c r="L13" s="22" t="str">
        <f t="shared" si="0"/>
        <v>Oct</v>
      </c>
      <c r="M13" s="22" t="str">
        <f t="shared" si="0"/>
        <v>Nov</v>
      </c>
      <c r="N13" s="22" t="str">
        <f t="shared" si="0"/>
        <v>Dec</v>
      </c>
    </row>
    <row r="14" spans="2:14" x14ac:dyDescent="0.3">
      <c r="B14" s="23">
        <f>B7</f>
        <v>1</v>
      </c>
      <c r="C14" s="21">
        <v>1</v>
      </c>
      <c r="D14">
        <f>IF(COUNTIF(C$7:C$10,D7)&gt;0,1,0)+IF(COUNTIF(B$7:B$10,D7)&gt;0,1,0)+IF(COUNTIF(A$7:A$10,D7)&gt;0,1,0)+1</f>
        <v>2</v>
      </c>
      <c r="E14">
        <f>IF(COUNTIF(D$7:D$10,E7)&gt;0,1,0)+IF(COUNTIF(C$7:C$10,E7)&gt;0,1,0)+IF(COUNTIF(B$7:B$10,E7)&gt;0,1,0)+1</f>
        <v>1</v>
      </c>
      <c r="F14">
        <f>IF(COUNTIF(E$7:E$10,F7)&gt;0,1,0)+IF(COUNTIF(D$7:D$10,F7)&gt;0,1,0)+IF(COUNTIF(C$7:C$10,F7)&gt;0,1,0)+1</f>
        <v>1</v>
      </c>
      <c r="G14">
        <f t="shared" ref="D14:N17" si="1">IF(COUNTIF(F$7:F$10,G7)&gt;0,1,0)+IF(COUNTIF(E$7:E$10,G7)&gt;0,1,0)+IF(COUNTIF(D$7:D$10,G7)&gt;0,1,0)+1</f>
        <v>2</v>
      </c>
      <c r="H14">
        <f>IF(COUNTIF(G$7:G$10,H7)&gt;0,1,0)+IF(COUNTIF(F$7:F$10,H7)&gt;0,1,0)+IF(COUNTIF(E$7:E$10,H7)&gt;0,1,0)+1</f>
        <v>1</v>
      </c>
      <c r="I14">
        <f t="shared" si="1"/>
        <v>1</v>
      </c>
      <c r="J14">
        <f t="shared" si="1"/>
        <v>2</v>
      </c>
      <c r="K14">
        <f t="shared" si="1"/>
        <v>2</v>
      </c>
      <c r="L14">
        <f t="shared" si="1"/>
        <v>1</v>
      </c>
      <c r="M14">
        <f t="shared" si="1"/>
        <v>2</v>
      </c>
      <c r="N14">
        <f t="shared" si="1"/>
        <v>2</v>
      </c>
    </row>
    <row r="15" spans="2:14" x14ac:dyDescent="0.3">
      <c r="B15" s="23">
        <f>B8</f>
        <v>2</v>
      </c>
      <c r="C15" s="21">
        <v>1</v>
      </c>
      <c r="D15">
        <f t="shared" si="1"/>
        <v>2</v>
      </c>
      <c r="E15">
        <f t="shared" si="1"/>
        <v>3</v>
      </c>
      <c r="F15">
        <f t="shared" si="1"/>
        <v>1</v>
      </c>
      <c r="G15">
        <f t="shared" si="1"/>
        <v>1</v>
      </c>
      <c r="H15">
        <f t="shared" si="1"/>
        <v>3</v>
      </c>
      <c r="I15">
        <f t="shared" si="1"/>
        <v>1</v>
      </c>
      <c r="J15">
        <f t="shared" si="1"/>
        <v>2</v>
      </c>
      <c r="K15">
        <f t="shared" si="1"/>
        <v>3</v>
      </c>
      <c r="L15">
        <f t="shared" si="1"/>
        <v>1</v>
      </c>
      <c r="M15">
        <f t="shared" si="1"/>
        <v>1</v>
      </c>
      <c r="N15">
        <f t="shared" si="1"/>
        <v>3</v>
      </c>
    </row>
    <row r="16" spans="2:14" x14ac:dyDescent="0.3">
      <c r="B16" s="23">
        <f>B9</f>
        <v>3</v>
      </c>
      <c r="C16" s="21">
        <v>1</v>
      </c>
      <c r="D16">
        <f t="shared" si="1"/>
        <v>2</v>
      </c>
      <c r="E16">
        <f t="shared" si="1"/>
        <v>1</v>
      </c>
      <c r="F16">
        <f t="shared" si="1"/>
        <v>1</v>
      </c>
      <c r="G16">
        <f>IF(COUNTIF(F$7:F$10,G9)&gt;0,1,0)+IF(COUNTIF(E$7:E$10,G9)&gt;0,1,0)+IF(COUNTIF(D$7:D$10,G9)&gt;0,1,0)+1</f>
        <v>2</v>
      </c>
      <c r="H16">
        <f>IF(COUNTIF(G$7:G$10,H9)&gt;0,1,0)+IF(COUNTIF(F$7:F$10,H9)&gt;0,1,0)+IF(COUNTIF(E$7:E$10,H9)&gt;0,1,0)+1</f>
        <v>2</v>
      </c>
      <c r="I16">
        <f t="shared" si="1"/>
        <v>1</v>
      </c>
      <c r="J16">
        <f t="shared" si="1"/>
        <v>1</v>
      </c>
      <c r="K16">
        <f t="shared" si="1"/>
        <v>3</v>
      </c>
      <c r="L16">
        <f t="shared" si="1"/>
        <v>4</v>
      </c>
      <c r="M16">
        <f t="shared" si="1"/>
        <v>2</v>
      </c>
      <c r="N16">
        <f t="shared" si="1"/>
        <v>2</v>
      </c>
    </row>
    <row r="17" spans="2:16" x14ac:dyDescent="0.3">
      <c r="B17" s="23">
        <f>B10</f>
        <v>4</v>
      </c>
      <c r="C17" s="21">
        <v>1</v>
      </c>
      <c r="D17">
        <f t="shared" si="1"/>
        <v>2</v>
      </c>
      <c r="E17">
        <f t="shared" si="1"/>
        <v>3</v>
      </c>
      <c r="F17">
        <f t="shared" si="1"/>
        <v>2</v>
      </c>
      <c r="G17">
        <f t="shared" si="1"/>
        <v>2</v>
      </c>
      <c r="H17">
        <f t="shared" si="1"/>
        <v>3</v>
      </c>
      <c r="I17">
        <f t="shared" si="1"/>
        <v>2</v>
      </c>
      <c r="J17">
        <f t="shared" si="1"/>
        <v>1</v>
      </c>
      <c r="K17">
        <f t="shared" si="1"/>
        <v>2</v>
      </c>
      <c r="L17">
        <f t="shared" si="1"/>
        <v>1</v>
      </c>
      <c r="M17">
        <f t="shared" si="1"/>
        <v>2</v>
      </c>
      <c r="N17">
        <f t="shared" si="1"/>
        <v>3</v>
      </c>
    </row>
    <row r="19" spans="2:16" x14ac:dyDescent="0.3">
      <c r="B19" s="1" t="s">
        <v>68</v>
      </c>
    </row>
    <row r="20" spans="2:16" x14ac:dyDescent="0.3">
      <c r="B20" s="23" t="s">
        <v>60</v>
      </c>
      <c r="C20" s="22" t="str">
        <f>C13</f>
        <v>Jan</v>
      </c>
      <c r="D20" s="22" t="str">
        <f t="shared" ref="D20:N20" si="2">D13</f>
        <v>Feb</v>
      </c>
      <c r="E20" s="22" t="str">
        <f t="shared" si="2"/>
        <v>Mar</v>
      </c>
      <c r="F20" s="22" t="str">
        <f t="shared" si="2"/>
        <v>Apr</v>
      </c>
      <c r="G20" s="22" t="str">
        <f t="shared" si="2"/>
        <v>May</v>
      </c>
      <c r="H20" s="22" t="str">
        <f t="shared" si="2"/>
        <v>Jun</v>
      </c>
      <c r="I20" s="22" t="str">
        <f t="shared" si="2"/>
        <v>Jul</v>
      </c>
      <c r="J20" s="22" t="str">
        <f t="shared" si="2"/>
        <v>Aug</v>
      </c>
      <c r="K20" s="22" t="str">
        <f t="shared" si="2"/>
        <v>Sep</v>
      </c>
      <c r="L20" s="22" t="str">
        <f t="shared" si="2"/>
        <v>Oct</v>
      </c>
      <c r="M20" s="22" t="str">
        <f t="shared" si="2"/>
        <v>Nov</v>
      </c>
      <c r="N20" s="22" t="str">
        <f t="shared" si="2"/>
        <v>Dec</v>
      </c>
    </row>
    <row r="21" spans="2:16" x14ac:dyDescent="0.3">
      <c r="B21" s="23">
        <f>B14</f>
        <v>1</v>
      </c>
      <c r="C21" s="10">
        <f>INDEX(Data_checks!$C$31:$E$34,MATCH(C14,Data_checks!$B$31:$B$34,0),MATCH(LEFT(C7,1),Data_checks!$C$30:$E$30,0))</f>
        <v>0.93</v>
      </c>
      <c r="D21" s="10">
        <f>INDEX(Data_checks!$C$31:$E$34,MATCH(D14,Data_checks!$B$31:$B$34,0),MATCH(LEFT(D7,1),Data_checks!$C$30:$E$30,0))</f>
        <v>0.8</v>
      </c>
      <c r="E21" s="10">
        <f>INDEX(Data_checks!$C$31:$E$34,MATCH(E14,Data_checks!$B$31:$B$34,0),MATCH(LEFT(E7,1),Data_checks!$C$30:$E$30,0))</f>
        <v>0.85</v>
      </c>
      <c r="F21" s="10">
        <f>INDEX(Data_checks!$C$31:$E$34,MATCH(F14,Data_checks!$B$31:$B$34,0),MATCH(LEFT(F7,1),Data_checks!$C$30:$E$30,0))</f>
        <v>0.93</v>
      </c>
      <c r="G21" s="10">
        <f>INDEX(Data_checks!$C$31:$E$34,MATCH(G14,Data_checks!$B$31:$B$34,0),MATCH(LEFT(G7,1),Data_checks!$C$30:$E$30,0))</f>
        <v>0.8</v>
      </c>
      <c r="H21" s="10">
        <f>INDEX(Data_checks!$C$31:$E$34,MATCH(H14,Data_checks!$B$31:$B$34,0),MATCH(LEFT(H7,1),Data_checks!$C$30:$E$30,0))</f>
        <v>0.85</v>
      </c>
      <c r="I21" s="10">
        <f>INDEX(Data_checks!$C$31:$E$34,MATCH(I14,Data_checks!$B$31:$B$34,0),MATCH(LEFT(I7,1),Data_checks!$C$30:$E$30,0))</f>
        <v>0.98</v>
      </c>
      <c r="J21" s="10">
        <f>INDEX(Data_checks!$C$31:$E$34,MATCH(J14,Data_checks!$B$31:$B$34,0),MATCH(LEFT(J7,1),Data_checks!$C$30:$E$30,0))</f>
        <v>0.85</v>
      </c>
      <c r="K21" s="10">
        <f>INDEX(Data_checks!$C$31:$E$34,MATCH(K14,Data_checks!$B$31:$B$34,0),MATCH(LEFT(K7,1),Data_checks!$C$30:$E$30,0))</f>
        <v>0.65</v>
      </c>
      <c r="L21" s="10">
        <f>INDEX(Data_checks!$C$31:$E$34,MATCH(L14,Data_checks!$B$31:$B$34,0),MATCH(LEFT(L7,1),Data_checks!$C$30:$E$30,0))</f>
        <v>0.93</v>
      </c>
      <c r="M21" s="10">
        <f>INDEX(Data_checks!$C$31:$E$34,MATCH(M14,Data_checks!$B$31:$B$34,0),MATCH(LEFT(M7,1),Data_checks!$C$30:$E$30,0))</f>
        <v>0.8</v>
      </c>
      <c r="N21" s="10">
        <f>INDEX(Data_checks!$C$31:$E$34,MATCH(N14,Data_checks!$B$31:$B$34,0),MATCH(LEFT(N7,1),Data_checks!$C$30:$E$30,0))</f>
        <v>0.65</v>
      </c>
    </row>
    <row r="22" spans="2:16" x14ac:dyDescent="0.3">
      <c r="B22" s="23">
        <f t="shared" ref="B22:B24" si="3">B15</f>
        <v>2</v>
      </c>
      <c r="C22" s="10">
        <f>INDEX(Data_checks!$C$31:$E$34,MATCH(C15,Data_checks!$B$31:$B$34,0),MATCH(LEFT(C8,1),Data_checks!$C$30:$E$30,0))</f>
        <v>0.93</v>
      </c>
      <c r="D22" s="10">
        <f>INDEX(Data_checks!$C$31:$E$34,MATCH(D15,Data_checks!$B$31:$B$34,0),MATCH(LEFT(D8,1),Data_checks!$C$30:$E$30,0))</f>
        <v>0.65</v>
      </c>
      <c r="E22" s="10">
        <f>INDEX(Data_checks!$C$31:$E$34,MATCH(E15,Data_checks!$B$31:$B$34,0),MATCH(LEFT(E8,1),Data_checks!$C$30:$E$30,0))</f>
        <v>0.65</v>
      </c>
      <c r="F22" s="10">
        <f>INDEX(Data_checks!$C$31:$E$34,MATCH(F15,Data_checks!$B$31:$B$34,0),MATCH(LEFT(F8,1),Data_checks!$C$30:$E$30,0))</f>
        <v>0.93</v>
      </c>
      <c r="G22" s="10">
        <f>INDEX(Data_checks!$C$31:$E$34,MATCH(G15,Data_checks!$B$31:$B$34,0),MATCH(LEFT(G8,1),Data_checks!$C$30:$E$30,0))</f>
        <v>0.85</v>
      </c>
      <c r="H22" s="10">
        <f>INDEX(Data_checks!$C$31:$E$34,MATCH(H15,Data_checks!$B$31:$B$34,0),MATCH(LEFT(H8,1),Data_checks!$C$30:$E$30,0))</f>
        <v>0.65</v>
      </c>
      <c r="I22" s="10">
        <f>INDEX(Data_checks!$C$31:$E$34,MATCH(I15,Data_checks!$B$31:$B$34,0),MATCH(LEFT(I8,1),Data_checks!$C$30:$E$30,0))</f>
        <v>0.98</v>
      </c>
      <c r="J22" s="10">
        <f>INDEX(Data_checks!$C$31:$E$34,MATCH(J15,Data_checks!$B$31:$B$34,0),MATCH(LEFT(J8,1),Data_checks!$C$30:$E$30,0))</f>
        <v>0.85</v>
      </c>
      <c r="K22" s="10">
        <f>INDEX(Data_checks!$C$31:$E$34,MATCH(K15,Data_checks!$B$31:$B$34,0),MATCH(LEFT(K8,1),Data_checks!$C$30:$E$30,0))</f>
        <v>0.7</v>
      </c>
      <c r="L22" s="10">
        <f>INDEX(Data_checks!$C$31:$E$34,MATCH(L15,Data_checks!$B$31:$B$34,0),MATCH(LEFT(L8,1),Data_checks!$C$30:$E$30,0))</f>
        <v>0.93</v>
      </c>
      <c r="M22" s="10">
        <f>INDEX(Data_checks!$C$31:$E$34,MATCH(M15,Data_checks!$B$31:$B$34,0),MATCH(LEFT(M8,1),Data_checks!$C$30:$E$30,0))</f>
        <v>0.85</v>
      </c>
      <c r="N22" s="10">
        <f>INDEX(Data_checks!$C$31:$E$34,MATCH(N15,Data_checks!$B$31:$B$34,0),MATCH(LEFT(N8,1),Data_checks!$C$30:$E$30,0))</f>
        <v>0.65</v>
      </c>
    </row>
    <row r="23" spans="2:16" x14ac:dyDescent="0.3">
      <c r="B23" s="23">
        <f t="shared" si="3"/>
        <v>3</v>
      </c>
      <c r="C23" s="10">
        <f>INDEX(Data_checks!$C$31:$E$34,MATCH(C16,Data_checks!$B$31:$B$34,0),MATCH(LEFT(C9,1),Data_checks!$C$30:$E$30,0))</f>
        <v>0.85</v>
      </c>
      <c r="D23" s="10">
        <f>INDEX(Data_checks!$C$31:$E$34,MATCH(D16,Data_checks!$B$31:$B$34,0),MATCH(LEFT(D9,1),Data_checks!$C$30:$E$30,0))</f>
        <v>0.65</v>
      </c>
      <c r="E23" s="10">
        <f>INDEX(Data_checks!$C$31:$E$34,MATCH(E16,Data_checks!$B$31:$B$34,0),MATCH(LEFT(E9,1),Data_checks!$C$30:$E$30,0))</f>
        <v>0.85</v>
      </c>
      <c r="F23" s="10">
        <f>INDEX(Data_checks!$C$31:$E$34,MATCH(F16,Data_checks!$B$31:$B$34,0),MATCH(LEFT(F9,1),Data_checks!$C$30:$E$30,0))</f>
        <v>0.85</v>
      </c>
      <c r="G23" s="10">
        <f>INDEX(Data_checks!$C$31:$E$34,MATCH(G16,Data_checks!$B$31:$B$34,0),MATCH(LEFT(G9,1),Data_checks!$C$30:$E$30,0))</f>
        <v>0.65</v>
      </c>
      <c r="H23" s="10">
        <f>INDEX(Data_checks!$C$31:$E$34,MATCH(H16,Data_checks!$B$31:$B$34,0),MATCH(LEFT(H9,1),Data_checks!$C$30:$E$30,0))</f>
        <v>0.65</v>
      </c>
      <c r="I23" s="10">
        <f>INDEX(Data_checks!$C$31:$E$34,MATCH(I16,Data_checks!$B$31:$B$34,0),MATCH(LEFT(I9,1),Data_checks!$C$30:$E$30,0))</f>
        <v>0.98</v>
      </c>
      <c r="J23" s="10">
        <f>INDEX(Data_checks!$C$31:$E$34,MATCH(J16,Data_checks!$B$31:$B$34,0),MATCH(LEFT(J9,1),Data_checks!$C$30:$E$30,0))</f>
        <v>0.85</v>
      </c>
      <c r="K23" s="10">
        <f>INDEX(Data_checks!$C$31:$E$34,MATCH(K16,Data_checks!$B$31:$B$34,0),MATCH(LEFT(K9,1),Data_checks!$C$30:$E$30,0))</f>
        <v>0.7</v>
      </c>
      <c r="L23" s="10">
        <f>INDEX(Data_checks!$C$31:$E$34,MATCH(L16,Data_checks!$B$31:$B$34,0),MATCH(LEFT(L9,1),Data_checks!$C$30:$E$30,0))</f>
        <v>0.6</v>
      </c>
      <c r="M23" s="10">
        <f>INDEX(Data_checks!$C$31:$E$34,MATCH(M16,Data_checks!$B$31:$B$34,0),MATCH(LEFT(M9,1),Data_checks!$C$30:$E$30,0))</f>
        <v>0.65</v>
      </c>
      <c r="N23" s="10">
        <f>INDEX(Data_checks!$C$31:$E$34,MATCH(N16,Data_checks!$B$31:$B$34,0),MATCH(LEFT(N9,1),Data_checks!$C$30:$E$30,0))</f>
        <v>0.65</v>
      </c>
    </row>
    <row r="24" spans="2:16" x14ac:dyDescent="0.3">
      <c r="B24" s="23">
        <f t="shared" si="3"/>
        <v>4</v>
      </c>
      <c r="C24" s="10">
        <f>INDEX(Data_checks!$C$31:$E$34,MATCH(C17,Data_checks!$B$31:$B$34,0),MATCH(LEFT(C10,1),Data_checks!$C$30:$E$30,0))</f>
        <v>0.85</v>
      </c>
      <c r="D24" s="10">
        <f>INDEX(Data_checks!$C$31:$E$34,MATCH(D17,Data_checks!$B$31:$B$34,0),MATCH(LEFT(D10,1),Data_checks!$C$30:$E$30,0))</f>
        <v>0.65</v>
      </c>
      <c r="E24" s="10">
        <f>INDEX(Data_checks!$C$31:$E$34,MATCH(E17,Data_checks!$B$31:$B$34,0),MATCH(LEFT(E10,1),Data_checks!$C$30:$E$30,0))</f>
        <v>0.45</v>
      </c>
      <c r="F24" s="10">
        <f>INDEX(Data_checks!$C$31:$E$34,MATCH(F17,Data_checks!$B$31:$B$34,0),MATCH(LEFT(F10,1),Data_checks!$C$30:$E$30,0))</f>
        <v>0.65</v>
      </c>
      <c r="G24" s="10">
        <f>INDEX(Data_checks!$C$31:$E$34,MATCH(G17,Data_checks!$B$31:$B$34,0),MATCH(LEFT(G10,1),Data_checks!$C$30:$E$30,0))</f>
        <v>0.65</v>
      </c>
      <c r="H24" s="10">
        <f>INDEX(Data_checks!$C$31:$E$34,MATCH(H17,Data_checks!$B$31:$B$34,0),MATCH(LEFT(H10,1),Data_checks!$C$30:$E$30,0))</f>
        <v>0.45</v>
      </c>
      <c r="I24" s="10">
        <f>INDEX(Data_checks!$C$31:$E$34,MATCH(I17,Data_checks!$B$31:$B$34,0),MATCH(LEFT(I10,1),Data_checks!$C$30:$E$30,0))</f>
        <v>0.65</v>
      </c>
      <c r="J24" s="10">
        <f>INDEX(Data_checks!$C$31:$E$34,MATCH(J17,Data_checks!$B$31:$B$34,0),MATCH(LEFT(J10,1),Data_checks!$C$30:$E$30,0))</f>
        <v>0.85</v>
      </c>
      <c r="K24" s="10">
        <f>INDEX(Data_checks!$C$31:$E$34,MATCH(K17,Data_checks!$B$31:$B$34,0),MATCH(LEFT(K10,1),Data_checks!$C$30:$E$30,0))</f>
        <v>0.65</v>
      </c>
      <c r="L24" s="10">
        <f>INDEX(Data_checks!$C$31:$E$34,MATCH(L17,Data_checks!$B$31:$B$34,0),MATCH(LEFT(L10,1),Data_checks!$C$30:$E$30,0))</f>
        <v>0.85</v>
      </c>
      <c r="M24" s="10">
        <f>INDEX(Data_checks!$C$31:$E$34,MATCH(M17,Data_checks!$B$31:$B$34,0),MATCH(LEFT(M10,1),Data_checks!$C$30:$E$30,0))</f>
        <v>0.65</v>
      </c>
      <c r="N24" s="10">
        <f>INDEX(Data_checks!$C$31:$E$34,MATCH(N17,Data_checks!$B$31:$B$34,0),MATCH(LEFT(N10,1),Data_checks!$C$30:$E$30,0))</f>
        <v>0.45</v>
      </c>
    </row>
    <row r="26" spans="2:16" x14ac:dyDescent="0.3">
      <c r="B26" s="1" t="s">
        <v>72</v>
      </c>
    </row>
    <row r="27" spans="2:16" x14ac:dyDescent="0.3">
      <c r="B27" s="23" t="s">
        <v>60</v>
      </c>
      <c r="C27" s="22" t="str" cm="1">
        <f t="array" ref="C27:N27">C20:N20</f>
        <v>Jan</v>
      </c>
      <c r="D27" s="22" t="str">
        <v>Feb</v>
      </c>
      <c r="E27" s="22" t="str">
        <v>Mar</v>
      </c>
      <c r="F27" s="22" t="str">
        <v>Apr</v>
      </c>
      <c r="G27" s="22" t="str">
        <v>May</v>
      </c>
      <c r="H27" s="22" t="str">
        <v>Jun</v>
      </c>
      <c r="I27" s="22" t="str">
        <v>Jul</v>
      </c>
      <c r="J27" s="22" t="str">
        <v>Aug</v>
      </c>
      <c r="K27" s="22" t="str">
        <v>Sep</v>
      </c>
      <c r="L27" s="22" t="str">
        <v>Oct</v>
      </c>
      <c r="M27" s="22" t="str">
        <v>Nov</v>
      </c>
      <c r="N27" s="22" t="str">
        <v>Dec</v>
      </c>
    </row>
    <row r="28" spans="2:16" x14ac:dyDescent="0.3">
      <c r="B28" s="23">
        <f>B21</f>
        <v>1</v>
      </c>
      <c r="C28" s="9">
        <f>VLOOKUP($B28,Data_checks!$B$6:$C$9,2,TRUE)*C21*Parameters!$C$5*Parameters!$C$4</f>
        <v>142290</v>
      </c>
      <c r="D28" s="9">
        <f>VLOOKUP($B28,Data_checks!$B$6:$C$9,2,TRUE)*D21*Parameters!$C$5*Parameters!$C$4</f>
        <v>122400</v>
      </c>
      <c r="E28" s="9">
        <f>VLOOKUP($B28,Data_checks!$B$6:$C$9,2,TRUE)*E21*Parameters!$C$5*Parameters!$C$4</f>
        <v>130050</v>
      </c>
      <c r="F28" s="9">
        <f>VLOOKUP($B28,Data_checks!$B$6:$C$9,2,TRUE)*F21*Parameters!$C$5*Parameters!$C$4</f>
        <v>142290</v>
      </c>
      <c r="G28" s="9">
        <f>VLOOKUP($B28,Data_checks!$B$6:$C$9,2,TRUE)*G21*Parameters!$C$5*Parameters!$C$4</f>
        <v>122400</v>
      </c>
      <c r="H28" s="9">
        <f>VLOOKUP($B28,Data_checks!$B$6:$C$9,2,TRUE)*H21*Parameters!$C$5*Parameters!$C$4</f>
        <v>130050</v>
      </c>
      <c r="I28" s="9">
        <f>VLOOKUP($B28,Data_checks!$B$6:$C$9,2,TRUE)*I21*Parameters!$C$5*Parameters!$C$4</f>
        <v>149940</v>
      </c>
      <c r="J28" s="9">
        <f>VLOOKUP($B28,Data_checks!$B$6:$C$9,2,TRUE)*J21*Parameters!$C$5*Parameters!$C$4</f>
        <v>130050</v>
      </c>
      <c r="K28" s="9">
        <f>VLOOKUP($B28,Data_checks!$B$6:$C$9,2,TRUE)*K21*Parameters!$C$5*Parameters!$C$4</f>
        <v>99450</v>
      </c>
      <c r="L28" s="9">
        <f>VLOOKUP($B28,Data_checks!$B$6:$C$9,2,TRUE)*L21*Parameters!$C$5*Parameters!$C$4</f>
        <v>142290</v>
      </c>
      <c r="M28" s="9">
        <f>VLOOKUP($B28,Data_checks!$B$6:$C$9,2,TRUE)*M21*Parameters!$C$5*Parameters!$C$4</f>
        <v>122400</v>
      </c>
      <c r="N28" s="9">
        <f>VLOOKUP($B28,Data_checks!$B$6:$C$9,2,TRUE)*N21*Parameters!$C$5*Parameters!$C$4</f>
        <v>99450</v>
      </c>
    </row>
    <row r="29" spans="2:16" x14ac:dyDescent="0.3">
      <c r="B29" s="23">
        <f>B22</f>
        <v>2</v>
      </c>
      <c r="C29" s="9">
        <f>VLOOKUP($B29,Data_checks!$B$6:$C$9,2,TRUE)*C22*Parameters!$C$5*Parameters!$C$4</f>
        <v>75330</v>
      </c>
      <c r="D29" s="9">
        <f>VLOOKUP($B29,Data_checks!$B$6:$C$9,2,TRUE)*D22*Parameters!$C$5*Parameters!$C$4</f>
        <v>52650</v>
      </c>
      <c r="E29" s="9">
        <f>VLOOKUP($B29,Data_checks!$B$6:$C$9,2,TRUE)*E22*Parameters!$C$5*Parameters!$C$4</f>
        <v>52650</v>
      </c>
      <c r="F29" s="9">
        <f>VLOOKUP($B29,Data_checks!$B$6:$C$9,2,TRUE)*F22*Parameters!$C$5*Parameters!$C$4</f>
        <v>75330</v>
      </c>
      <c r="G29" s="9">
        <f>VLOOKUP($B29,Data_checks!$B$6:$C$9,2,TRUE)*G22*Parameters!$C$5*Parameters!$C$4</f>
        <v>68850</v>
      </c>
      <c r="H29" s="9">
        <f>VLOOKUP($B29,Data_checks!$B$6:$C$9,2,TRUE)*H22*Parameters!$C$5*Parameters!$C$4</f>
        <v>52650</v>
      </c>
      <c r="I29" s="9">
        <f>VLOOKUP($B29,Data_checks!$B$6:$C$9,2,TRUE)*I22*Parameters!$C$5*Parameters!$C$4</f>
        <v>79380</v>
      </c>
      <c r="J29" s="9">
        <f>VLOOKUP($B29,Data_checks!$B$6:$C$9,2,TRUE)*J22*Parameters!$C$5*Parameters!$C$4</f>
        <v>68850</v>
      </c>
      <c r="K29" s="9">
        <f>VLOOKUP($B29,Data_checks!$B$6:$C$9,2,TRUE)*K22*Parameters!$C$5*Parameters!$C$4</f>
        <v>56700</v>
      </c>
      <c r="L29" s="9">
        <f>VLOOKUP($B29,Data_checks!$B$6:$C$9,2,TRUE)*L22*Parameters!$C$5*Parameters!$C$4</f>
        <v>75330</v>
      </c>
      <c r="M29" s="9">
        <f>VLOOKUP($B29,Data_checks!$B$6:$C$9,2,TRUE)*M22*Parameters!$C$5*Parameters!$C$4</f>
        <v>68850</v>
      </c>
      <c r="N29" s="9">
        <f>VLOOKUP($B29,Data_checks!$B$6:$C$9,2,TRUE)*N22*Parameters!$C$5*Parameters!$C$4</f>
        <v>52650</v>
      </c>
    </row>
    <row r="30" spans="2:16" x14ac:dyDescent="0.3">
      <c r="B30" s="23">
        <f>B23</f>
        <v>3</v>
      </c>
      <c r="C30" s="9">
        <f>VLOOKUP($B30,Data_checks!$B$6:$C$9,2,TRUE)*C23*Parameters!$C$5*Parameters!$C$4</f>
        <v>30600</v>
      </c>
      <c r="D30" s="9">
        <f>VLOOKUP($B30,Data_checks!$B$6:$C$9,2,TRUE)*D23*Parameters!$C$5*Parameters!$C$4</f>
        <v>23400</v>
      </c>
      <c r="E30" s="9">
        <f>VLOOKUP($B30,Data_checks!$B$6:$C$9,2,TRUE)*E23*Parameters!$C$5*Parameters!$C$4</f>
        <v>30600</v>
      </c>
      <c r="F30" s="9">
        <f>VLOOKUP($B30,Data_checks!$B$6:$C$9,2,TRUE)*F23*Parameters!$C$5*Parameters!$C$4</f>
        <v>30600</v>
      </c>
      <c r="G30" s="9">
        <f>VLOOKUP($B30,Data_checks!$B$6:$C$9,2,TRUE)*G23*Parameters!$C$5*Parameters!$C$4</f>
        <v>23400</v>
      </c>
      <c r="H30" s="9">
        <f>VLOOKUP($B30,Data_checks!$B$6:$C$9,2,TRUE)*H23*Parameters!$C$5*Parameters!$C$4</f>
        <v>23400</v>
      </c>
      <c r="I30" s="9">
        <f>VLOOKUP($B30,Data_checks!$B$6:$C$9,2,TRUE)*I23*Parameters!$C$5*Parameters!$C$4</f>
        <v>35280</v>
      </c>
      <c r="J30" s="9">
        <f>VLOOKUP($B30,Data_checks!$B$6:$C$9,2,TRUE)*J23*Parameters!$C$5*Parameters!$C$4</f>
        <v>30600</v>
      </c>
      <c r="K30" s="9">
        <f>VLOOKUP($B30,Data_checks!$B$6:$C$9,2,TRUE)*K23*Parameters!$C$5*Parameters!$C$4</f>
        <v>25200</v>
      </c>
      <c r="L30" s="9">
        <f>VLOOKUP($B30,Data_checks!$B$6:$C$9,2,TRUE)*L23*Parameters!$C$5*Parameters!$C$4</f>
        <v>21600</v>
      </c>
      <c r="M30" s="9">
        <f>VLOOKUP($B30,Data_checks!$B$6:$C$9,2,TRUE)*M23*Parameters!$C$5*Parameters!$C$4</f>
        <v>23400</v>
      </c>
      <c r="N30" s="9">
        <f>VLOOKUP($B30,Data_checks!$B$6:$C$9,2,TRUE)*N23*Parameters!$C$5*Parameters!$C$4</f>
        <v>23400</v>
      </c>
    </row>
    <row r="31" spans="2:16" x14ac:dyDescent="0.3">
      <c r="B31" s="23">
        <f>B24</f>
        <v>4</v>
      </c>
      <c r="C31" s="9">
        <f>VLOOKUP($B31,Data_checks!$B$6:$C$9,2,TRUE)*C24*Parameters!$C$5*Parameters!$C$4</f>
        <v>22950</v>
      </c>
      <c r="D31" s="9">
        <f>VLOOKUP($B31,Data_checks!$B$6:$C$9,2,TRUE)*D24*Parameters!$C$5*Parameters!$C$4</f>
        <v>17550</v>
      </c>
      <c r="E31" s="9">
        <f>VLOOKUP($B31,Data_checks!$B$6:$C$9,2,TRUE)*E24*Parameters!$C$5*Parameters!$C$4</f>
        <v>12150</v>
      </c>
      <c r="F31" s="9">
        <f>VLOOKUP($B31,Data_checks!$B$6:$C$9,2,TRUE)*F24*Parameters!$C$5*Parameters!$C$4</f>
        <v>17550</v>
      </c>
      <c r="G31" s="9">
        <f>VLOOKUP($B31,Data_checks!$B$6:$C$9,2,TRUE)*G24*Parameters!$C$5*Parameters!$C$4</f>
        <v>17550</v>
      </c>
      <c r="H31" s="9">
        <f>VLOOKUP($B31,Data_checks!$B$6:$C$9,2,TRUE)*H24*Parameters!$C$5*Parameters!$C$4</f>
        <v>12150</v>
      </c>
      <c r="I31" s="9">
        <f>VLOOKUP($B31,Data_checks!$B$6:$C$9,2,TRUE)*I24*Parameters!$C$5*Parameters!$C$4</f>
        <v>17550</v>
      </c>
      <c r="J31" s="9">
        <f>VLOOKUP($B31,Data_checks!$B$6:$C$9,2,TRUE)*J24*Parameters!$C$5*Parameters!$C$4</f>
        <v>22950</v>
      </c>
      <c r="K31" s="9">
        <f>VLOOKUP($B31,Data_checks!$B$6:$C$9,2,TRUE)*K24*Parameters!$C$5*Parameters!$C$4</f>
        <v>17550</v>
      </c>
      <c r="L31" s="9">
        <f>VLOOKUP($B31,Data_checks!$B$6:$C$9,2,TRUE)*L24*Parameters!$C$5*Parameters!$C$4</f>
        <v>22950</v>
      </c>
      <c r="M31" s="9">
        <f>VLOOKUP($B31,Data_checks!$B$6:$C$9,2,TRUE)*M24*Parameters!$C$5*Parameters!$C$4</f>
        <v>17550</v>
      </c>
      <c r="N31" s="9">
        <f>VLOOKUP($B31,Data_checks!$B$6:$C$9,2,TRUE)*N24*Parameters!$C$5*Parameters!$C$4</f>
        <v>12150</v>
      </c>
      <c r="P31" s="13" t="s">
        <v>34</v>
      </c>
    </row>
    <row r="32" spans="2:16" s="1" customFormat="1" x14ac:dyDescent="0.3">
      <c r="B32" s="1" t="s">
        <v>55</v>
      </c>
      <c r="C32" s="16">
        <f>SUM(C28:C31)</f>
        <v>271170</v>
      </c>
      <c r="D32" s="16">
        <f t="shared" ref="D32:N32" si="4">SUM(D28:D31)</f>
        <v>216000</v>
      </c>
      <c r="E32" s="16">
        <f t="shared" si="4"/>
        <v>225450</v>
      </c>
      <c r="F32" s="16">
        <f t="shared" si="4"/>
        <v>265770</v>
      </c>
      <c r="G32" s="16">
        <f t="shared" si="4"/>
        <v>232200</v>
      </c>
      <c r="H32" s="16">
        <f t="shared" si="4"/>
        <v>218250</v>
      </c>
      <c r="I32" s="16">
        <f t="shared" si="4"/>
        <v>282150</v>
      </c>
      <c r="J32" s="16">
        <f t="shared" si="4"/>
        <v>252450</v>
      </c>
      <c r="K32" s="16">
        <f t="shared" si="4"/>
        <v>198900</v>
      </c>
      <c r="L32" s="16">
        <f t="shared" si="4"/>
        <v>262170</v>
      </c>
      <c r="M32" s="16">
        <f t="shared" si="4"/>
        <v>232200</v>
      </c>
      <c r="N32" s="16">
        <f t="shared" si="4"/>
        <v>187650</v>
      </c>
      <c r="O32" s="17">
        <f>SUM(C32:N32)</f>
        <v>2844360</v>
      </c>
      <c r="P32" s="17" t="str">
        <f>IF(O32=Data_checks!E58,"Data is internally consistent","Data is not consistent. Please check")</f>
        <v>Data is internally consistent</v>
      </c>
    </row>
    <row r="34" spans="2:16" x14ac:dyDescent="0.3">
      <c r="B34" s="1" t="s">
        <v>80</v>
      </c>
    </row>
    <row r="35" spans="2:16" ht="28.8" x14ac:dyDescent="0.3">
      <c r="B35" s="26" t="s">
        <v>57</v>
      </c>
      <c r="C35" s="22" t="str">
        <f>C27</f>
        <v>Jan</v>
      </c>
      <c r="D35" s="22" t="str">
        <f t="shared" ref="D35:N35" si="5">D27</f>
        <v>Feb</v>
      </c>
      <c r="E35" s="22" t="str">
        <f t="shared" si="5"/>
        <v>Mar</v>
      </c>
      <c r="F35" s="22" t="str">
        <f t="shared" si="5"/>
        <v>Apr</v>
      </c>
      <c r="G35" s="22" t="str">
        <f t="shared" si="5"/>
        <v>May</v>
      </c>
      <c r="H35" s="22" t="str">
        <f t="shared" si="5"/>
        <v>Jun</v>
      </c>
      <c r="I35" s="22" t="str">
        <f t="shared" si="5"/>
        <v>Jul</v>
      </c>
      <c r="J35" s="22" t="str">
        <f t="shared" si="5"/>
        <v>Aug</v>
      </c>
      <c r="K35" s="22" t="str">
        <f t="shared" si="5"/>
        <v>Sep</v>
      </c>
      <c r="L35" s="22" t="str">
        <f t="shared" si="5"/>
        <v>Oct</v>
      </c>
      <c r="M35" s="22" t="str">
        <f t="shared" si="5"/>
        <v>Nov</v>
      </c>
      <c r="N35" s="22" t="str">
        <f t="shared" si="5"/>
        <v>Dec</v>
      </c>
    </row>
    <row r="36" spans="2:16" x14ac:dyDescent="0.3">
      <c r="B36" s="23">
        <f>Data!B21</f>
        <v>1</v>
      </c>
      <c r="C36" s="6">
        <f>C$32*Data_checks!$F44</f>
        <v>17658.140108846983</v>
      </c>
      <c r="D36" s="6">
        <f>D$32*Data_checks!$F44</f>
        <v>14065.561321351728</v>
      </c>
      <c r="E36" s="6">
        <f>E$32*Data_checks!$F44</f>
        <v>14680.929629160866</v>
      </c>
      <c r="F36" s="6">
        <f>F$32*Data_checks!$F44</f>
        <v>17306.50107581319</v>
      </c>
      <c r="G36" s="6">
        <f>G$32*Data_checks!$F44</f>
        <v>15120.478420453108</v>
      </c>
      <c r="H36" s="6">
        <f>H$32*Data_checks!$F44</f>
        <v>14212.077585115809</v>
      </c>
      <c r="I36" s="6">
        <f>I$32*Data_checks!$F44</f>
        <v>18373.139476015695</v>
      </c>
      <c r="J36" s="6">
        <f>J$32*Data_checks!$F44</f>
        <v>16439.124794329833</v>
      </c>
      <c r="K36" s="6">
        <f>K$32*Data_checks!$F44</f>
        <v>12952.037716744717</v>
      </c>
      <c r="L36" s="6">
        <f>L$32*Data_checks!$F44</f>
        <v>17072.075053790661</v>
      </c>
      <c r="M36" s="6">
        <f>M$32*Data_checks!$F44</f>
        <v>15120.478420453108</v>
      </c>
      <c r="N36" s="6">
        <f>N$32*Data_checks!$F44</f>
        <v>12219.456397924314</v>
      </c>
    </row>
    <row r="37" spans="2:16" x14ac:dyDescent="0.3">
      <c r="B37" s="23">
        <f>Data!B22</f>
        <v>2</v>
      </c>
      <c r="C37" s="6">
        <f>C$32*Data_checks!$F45</f>
        <v>51481.45804328566</v>
      </c>
      <c r="D37" s="6">
        <f>D$32*Data_checks!$F45</f>
        <v>41007.467409188706</v>
      </c>
      <c r="E37" s="6">
        <f>E$32*Data_checks!$F45</f>
        <v>42801.544108340713</v>
      </c>
      <c r="F37" s="6">
        <f>F$32*Data_checks!$F45</f>
        <v>50456.271358055943</v>
      </c>
      <c r="G37" s="6">
        <f>G$32*Data_checks!$F45</f>
        <v>44083.027464877865</v>
      </c>
      <c r="H37" s="6">
        <f>H$32*Data_checks!$F45</f>
        <v>41434.628528034424</v>
      </c>
      <c r="I37" s="6">
        <f>I$32*Data_checks!$F45</f>
        <v>53566.004303252754</v>
      </c>
      <c r="J37" s="6">
        <f>J$32*Data_checks!$F45</f>
        <v>47927.477534489306</v>
      </c>
      <c r="K37" s="6">
        <f>K$32*Data_checks!$F45</f>
        <v>37761.042905961272</v>
      </c>
      <c r="L37" s="6">
        <f>L$32*Data_checks!$F45</f>
        <v>49772.813567902798</v>
      </c>
      <c r="M37" s="6">
        <f>M$32*Data_checks!$F45</f>
        <v>44083.027464877865</v>
      </c>
      <c r="N37" s="6">
        <f>N$32*Data_checks!$F45</f>
        <v>35625.237311732693</v>
      </c>
    </row>
    <row r="38" spans="2:16" x14ac:dyDescent="0.3">
      <c r="B38" s="23">
        <f>Data!B23</f>
        <v>3</v>
      </c>
      <c r="C38" s="6">
        <f>C$32*Data_checks!$F46</f>
        <v>51481.45804328566</v>
      </c>
      <c r="D38" s="6">
        <f>D$32*Data_checks!$F46</f>
        <v>41007.467409188706</v>
      </c>
      <c r="E38" s="6">
        <f>E$32*Data_checks!$F46</f>
        <v>42801.544108340713</v>
      </c>
      <c r="F38" s="6">
        <f>F$32*Data_checks!$F46</f>
        <v>50456.271358055943</v>
      </c>
      <c r="G38" s="6">
        <f>G$32*Data_checks!$F46</f>
        <v>44083.027464877865</v>
      </c>
      <c r="H38" s="6">
        <f>H$32*Data_checks!$F46</f>
        <v>41434.628528034424</v>
      </c>
      <c r="I38" s="6">
        <f>I$32*Data_checks!$F46</f>
        <v>53566.004303252754</v>
      </c>
      <c r="J38" s="6">
        <f>J$32*Data_checks!$F46</f>
        <v>47927.477534489306</v>
      </c>
      <c r="K38" s="6">
        <f>K$32*Data_checks!$F46</f>
        <v>37761.042905961272</v>
      </c>
      <c r="L38" s="6">
        <f>L$32*Data_checks!$F46</f>
        <v>49772.813567902798</v>
      </c>
      <c r="M38" s="6">
        <f>M$32*Data_checks!$F46</f>
        <v>44083.027464877865</v>
      </c>
      <c r="N38" s="6">
        <f>N$32*Data_checks!$F46</f>
        <v>35625.237311732693</v>
      </c>
    </row>
    <row r="39" spans="2:16" x14ac:dyDescent="0.3">
      <c r="B39" s="23">
        <f>Data!B24</f>
        <v>4</v>
      </c>
      <c r="C39" s="6">
        <f>C$32*Data_checks!$F47</f>
        <v>51481.45804328566</v>
      </c>
      <c r="D39" s="6">
        <f>D$32*Data_checks!$F47</f>
        <v>41007.467409188706</v>
      </c>
      <c r="E39" s="6">
        <f>E$32*Data_checks!$F47</f>
        <v>42801.544108340713</v>
      </c>
      <c r="F39" s="6">
        <f>F$32*Data_checks!$F47</f>
        <v>50456.271358055943</v>
      </c>
      <c r="G39" s="6">
        <f>G$32*Data_checks!$F47</f>
        <v>44083.027464877865</v>
      </c>
      <c r="H39" s="6">
        <f>H$32*Data_checks!$F47</f>
        <v>41434.628528034424</v>
      </c>
      <c r="I39" s="6">
        <f>I$32*Data_checks!$F47</f>
        <v>53566.004303252754</v>
      </c>
      <c r="J39" s="6">
        <f>J$32*Data_checks!$F47</f>
        <v>47927.477534489306</v>
      </c>
      <c r="K39" s="6">
        <f>K$32*Data_checks!$F47</f>
        <v>37761.042905961272</v>
      </c>
      <c r="L39" s="6">
        <f>L$32*Data_checks!$F47</f>
        <v>49772.813567902798</v>
      </c>
      <c r="M39" s="6">
        <f>M$32*Data_checks!$F47</f>
        <v>44083.027464877865</v>
      </c>
      <c r="N39" s="6">
        <f>N$32*Data_checks!$F47</f>
        <v>35625.237311732693</v>
      </c>
    </row>
    <row r="40" spans="2:16" x14ac:dyDescent="0.3">
      <c r="B40" s="23">
        <f>Data!B25</f>
        <v>5</v>
      </c>
      <c r="C40" s="6">
        <f>C$32*Data_checks!$F48</f>
        <v>38611.093532464241</v>
      </c>
      <c r="D40" s="6">
        <f>D$32*Data_checks!$F48</f>
        <v>30755.600556891532</v>
      </c>
      <c r="E40" s="6">
        <f>E$32*Data_checks!$F48</f>
        <v>32101.158081255537</v>
      </c>
      <c r="F40" s="6">
        <f>F$32*Data_checks!$F48</f>
        <v>37842.203518541959</v>
      </c>
      <c r="G40" s="6">
        <f>G$32*Data_checks!$F48</f>
        <v>33062.270598658397</v>
      </c>
      <c r="H40" s="6">
        <f>H$32*Data_checks!$F48</f>
        <v>31075.97139602582</v>
      </c>
      <c r="I40" s="6">
        <f>I$32*Data_checks!$F48</f>
        <v>40174.503227439563</v>
      </c>
      <c r="J40" s="6">
        <f>J$32*Data_checks!$F48</f>
        <v>35945.608150866981</v>
      </c>
      <c r="K40" s="6">
        <f>K$32*Data_checks!$F48</f>
        <v>28320.782179470953</v>
      </c>
      <c r="L40" s="6">
        <f>L$32*Data_checks!$F48</f>
        <v>37329.610175927097</v>
      </c>
      <c r="M40" s="6">
        <f>M$32*Data_checks!$F48</f>
        <v>33062.270598658397</v>
      </c>
      <c r="N40" s="6">
        <f>N$32*Data_checks!$F48</f>
        <v>26718.92798379952</v>
      </c>
    </row>
    <row r="41" spans="2:16" x14ac:dyDescent="0.3">
      <c r="B41" s="23">
        <f>Data!B26</f>
        <v>6</v>
      </c>
      <c r="C41" s="6">
        <f>C$32*Data_checks!$F49</f>
        <v>30888.874825971394</v>
      </c>
      <c r="D41" s="6">
        <f>D$32*Data_checks!$F49</f>
        <v>24604.480445513225</v>
      </c>
      <c r="E41" s="6">
        <f>E$32*Data_checks!$F49</f>
        <v>25680.926465004428</v>
      </c>
      <c r="F41" s="6">
        <f>F$32*Data_checks!$F49</f>
        <v>30273.762814833564</v>
      </c>
      <c r="G41" s="6">
        <f>G$32*Data_checks!$F49</f>
        <v>26449.816478926718</v>
      </c>
      <c r="H41" s="6">
        <f>H$32*Data_checks!$F49</f>
        <v>24860.777116820656</v>
      </c>
      <c r="I41" s="6">
        <f>I$32*Data_checks!$F49</f>
        <v>32139.602581951651</v>
      </c>
      <c r="J41" s="6">
        <f>J$32*Data_checks!$F49</f>
        <v>28756.486520693583</v>
      </c>
      <c r="K41" s="6">
        <f>K$32*Data_checks!$F49</f>
        <v>22656.625743576762</v>
      </c>
      <c r="L41" s="6">
        <f>L$32*Data_checks!$F49</f>
        <v>29863.688140741677</v>
      </c>
      <c r="M41" s="6">
        <f>M$32*Data_checks!$F49</f>
        <v>26449.816478926718</v>
      </c>
      <c r="N41" s="6">
        <f>N$32*Data_checks!$F49</f>
        <v>21375.142387039614</v>
      </c>
    </row>
    <row r="42" spans="2:16" x14ac:dyDescent="0.3">
      <c r="B42" s="23">
        <f>Data!B27</f>
        <v>7</v>
      </c>
      <c r="C42" s="6">
        <f>C$32*Data_checks!$F50</f>
        <v>18018.510315149979</v>
      </c>
      <c r="D42" s="6">
        <f>D$32*Data_checks!$F50</f>
        <v>14352.613593216049</v>
      </c>
      <c r="E42" s="6">
        <f>E$32*Data_checks!$F50</f>
        <v>14980.54043791925</v>
      </c>
      <c r="F42" s="6">
        <f>F$32*Data_checks!$F50</f>
        <v>17659.69497531958</v>
      </c>
      <c r="G42" s="6">
        <f>G$32*Data_checks!$F50</f>
        <v>15429.059612707251</v>
      </c>
      <c r="H42" s="6">
        <f>H$32*Data_checks!$F50</f>
        <v>14502.119984812049</v>
      </c>
      <c r="I42" s="6">
        <f>I$32*Data_checks!$F50</f>
        <v>18748.101506138464</v>
      </c>
      <c r="J42" s="6">
        <f>J$32*Data_checks!$F50</f>
        <v>16774.617137071255</v>
      </c>
      <c r="K42" s="6">
        <f>K$32*Data_checks!$F50</f>
        <v>13216.365017086444</v>
      </c>
      <c r="L42" s="6">
        <f>L$32*Data_checks!$F50</f>
        <v>17420.484748765979</v>
      </c>
      <c r="M42" s="6">
        <f>M$32*Data_checks!$F50</f>
        <v>15429.059612707251</v>
      </c>
      <c r="N42" s="6">
        <f>N$32*Data_checks!$F50</f>
        <v>12468.833059106442</v>
      </c>
    </row>
    <row r="43" spans="2:16" x14ac:dyDescent="0.3">
      <c r="B43" s="23">
        <f>Data!B28</f>
        <v>8</v>
      </c>
      <c r="C43" s="6">
        <f>C$32*Data_checks!$F51</f>
        <v>4118.5166434628527</v>
      </c>
      <c r="D43" s="6">
        <f>D$32*Data_checks!$F51</f>
        <v>3280.5973927350969</v>
      </c>
      <c r="E43" s="6">
        <f>E$32*Data_checks!$F51</f>
        <v>3424.1235286672577</v>
      </c>
      <c r="F43" s="6">
        <f>F$32*Data_checks!$F51</f>
        <v>4036.5017086444755</v>
      </c>
      <c r="G43" s="6">
        <f>G$32*Data_checks!$F51</f>
        <v>3526.6421971902291</v>
      </c>
      <c r="H43" s="6">
        <f>H$32*Data_checks!$F51</f>
        <v>3314.7702822427541</v>
      </c>
      <c r="I43" s="6">
        <f>I$32*Data_checks!$F51</f>
        <v>4285.2803442602208</v>
      </c>
      <c r="J43" s="6">
        <f>J$32*Data_checks!$F51</f>
        <v>3834.1982027591448</v>
      </c>
      <c r="K43" s="6">
        <f>K$32*Data_checks!$F51</f>
        <v>3020.8834324769018</v>
      </c>
      <c r="L43" s="6">
        <f>L$32*Data_checks!$F51</f>
        <v>3981.8250854322241</v>
      </c>
      <c r="M43" s="6">
        <f>M$32*Data_checks!$F51</f>
        <v>3526.6421971902291</v>
      </c>
      <c r="N43" s="6">
        <f>N$32*Data_checks!$F51</f>
        <v>2850.0189849386156</v>
      </c>
    </row>
    <row r="44" spans="2:16" x14ac:dyDescent="0.3">
      <c r="B44" s="23">
        <f>Data!B29</f>
        <v>9</v>
      </c>
      <c r="C44" s="6">
        <f>C$32*Data_checks!$F52</f>
        <v>3088.8874825971393</v>
      </c>
      <c r="D44" s="6">
        <f>D$32*Data_checks!$F52</f>
        <v>2460.4480445513223</v>
      </c>
      <c r="E44" s="6">
        <f>E$32*Data_checks!$F52</f>
        <v>2568.0926465004427</v>
      </c>
      <c r="F44" s="6">
        <f>F$32*Data_checks!$F52</f>
        <v>3027.3762814833563</v>
      </c>
      <c r="G44" s="6">
        <f>G$32*Data_checks!$F52</f>
        <v>2644.9816478926718</v>
      </c>
      <c r="H44" s="6">
        <f>H$32*Data_checks!$F52</f>
        <v>2486.0777116820655</v>
      </c>
      <c r="I44" s="6">
        <f>I$32*Data_checks!$F52</f>
        <v>3213.9602581951649</v>
      </c>
      <c r="J44" s="6">
        <f>J$32*Data_checks!$F52</f>
        <v>2875.6486520693579</v>
      </c>
      <c r="K44" s="6">
        <f>K$32*Data_checks!$F52</f>
        <v>2265.662574357676</v>
      </c>
      <c r="L44" s="6">
        <f>L$32*Data_checks!$F52</f>
        <v>2986.3688140741674</v>
      </c>
      <c r="M44" s="6">
        <f>M$32*Data_checks!$F52</f>
        <v>2644.9816478926718</v>
      </c>
      <c r="N44" s="6">
        <f>N$32*Data_checks!$F52</f>
        <v>2137.5142387039614</v>
      </c>
    </row>
    <row r="45" spans="2:16" x14ac:dyDescent="0.3">
      <c r="B45" s="23">
        <f>Data!B30</f>
        <v>10</v>
      </c>
      <c r="C45" s="6">
        <f>C$32*Data_checks!$F53</f>
        <v>1029.6291608657132</v>
      </c>
      <c r="D45" s="6">
        <f>D$32*Data_checks!$F53</f>
        <v>820.14934818377424</v>
      </c>
      <c r="E45" s="6">
        <f>E$32*Data_checks!$F53</f>
        <v>856.03088216681442</v>
      </c>
      <c r="F45" s="6">
        <f>F$32*Data_checks!$F53</f>
        <v>1009.1254271611189</v>
      </c>
      <c r="G45" s="6">
        <f>G$32*Data_checks!$F53</f>
        <v>881.66054929755728</v>
      </c>
      <c r="H45" s="6">
        <f>H$32*Data_checks!$F53</f>
        <v>828.69257056068852</v>
      </c>
      <c r="I45" s="6">
        <f>I$32*Data_checks!$F53</f>
        <v>1071.3200860650552</v>
      </c>
      <c r="J45" s="6">
        <f>J$32*Data_checks!$F53</f>
        <v>958.5495506897862</v>
      </c>
      <c r="K45" s="6">
        <f>K$32*Data_checks!$F53</f>
        <v>755.22085811922545</v>
      </c>
      <c r="L45" s="6">
        <f>L$32*Data_checks!$F53</f>
        <v>995.45627135805603</v>
      </c>
      <c r="M45" s="6">
        <f>M$32*Data_checks!$F53</f>
        <v>881.66054929755728</v>
      </c>
      <c r="N45" s="6">
        <f>N$32*Data_checks!$F53</f>
        <v>712.50474623465391</v>
      </c>
    </row>
    <row r="46" spans="2:16" x14ac:dyDescent="0.3">
      <c r="B46" s="23">
        <f>Data!B31</f>
        <v>11</v>
      </c>
      <c r="C46" s="6">
        <f>C$32*Data_checks!$F54</f>
        <v>1132.5920769522847</v>
      </c>
      <c r="D46" s="6">
        <f>D$32*Data_checks!$F54</f>
        <v>902.16428300215171</v>
      </c>
      <c r="E46" s="6">
        <f>E$32*Data_checks!$F54</f>
        <v>941.63397038349581</v>
      </c>
      <c r="F46" s="6">
        <f>F$32*Data_checks!$F54</f>
        <v>1110.0379698772308</v>
      </c>
      <c r="G46" s="6">
        <f>G$32*Data_checks!$F54</f>
        <v>969.82660422731306</v>
      </c>
      <c r="H46" s="6">
        <f>H$32*Data_checks!$F54</f>
        <v>911.56182761675745</v>
      </c>
      <c r="I46" s="6">
        <f>I$32*Data_checks!$F54</f>
        <v>1178.4520946715606</v>
      </c>
      <c r="J46" s="6">
        <f>J$32*Data_checks!$F54</f>
        <v>1054.4045057587648</v>
      </c>
      <c r="K46" s="6">
        <f>K$32*Data_checks!$F54</f>
        <v>830.74294393114803</v>
      </c>
      <c r="L46" s="6">
        <f>L$32*Data_checks!$F54</f>
        <v>1095.0018984938617</v>
      </c>
      <c r="M46" s="6">
        <f>M$32*Data_checks!$F54</f>
        <v>969.82660422731306</v>
      </c>
      <c r="N46" s="6">
        <f>N$32*Data_checks!$F54</f>
        <v>783.75522085811929</v>
      </c>
    </row>
    <row r="47" spans="2:16" x14ac:dyDescent="0.3">
      <c r="B47" s="23">
        <f>Data!B32</f>
        <v>12</v>
      </c>
      <c r="C47" s="6">
        <f>C$32*Data_checks!$F55</f>
        <v>1029.6291608657132</v>
      </c>
      <c r="D47" s="6">
        <f>D$32*Data_checks!$F55</f>
        <v>820.14934818377424</v>
      </c>
      <c r="E47" s="6">
        <f>E$32*Data_checks!$F55</f>
        <v>856.03088216681442</v>
      </c>
      <c r="F47" s="6">
        <f>F$32*Data_checks!$F55</f>
        <v>1009.1254271611189</v>
      </c>
      <c r="G47" s="6">
        <f>G$32*Data_checks!$F55</f>
        <v>881.66054929755728</v>
      </c>
      <c r="H47" s="6">
        <f>H$32*Data_checks!$F55</f>
        <v>828.69257056068852</v>
      </c>
      <c r="I47" s="6">
        <f>I$32*Data_checks!$F55</f>
        <v>1071.3200860650552</v>
      </c>
      <c r="J47" s="6">
        <f>J$32*Data_checks!$F55</f>
        <v>958.5495506897862</v>
      </c>
      <c r="K47" s="6">
        <f>K$32*Data_checks!$F55</f>
        <v>755.22085811922545</v>
      </c>
      <c r="L47" s="6">
        <f>L$32*Data_checks!$F55</f>
        <v>995.45627135805603</v>
      </c>
      <c r="M47" s="6">
        <f>M$32*Data_checks!$F55</f>
        <v>881.66054929755728</v>
      </c>
      <c r="N47" s="6">
        <f>N$32*Data_checks!$F55</f>
        <v>712.50474623465391</v>
      </c>
    </row>
    <row r="48" spans="2:16" x14ac:dyDescent="0.3">
      <c r="B48" s="23">
        <f>Data!B33</f>
        <v>13</v>
      </c>
      <c r="C48" s="6">
        <f>C$32*Data_checks!$F56</f>
        <v>669.2589545627136</v>
      </c>
      <c r="D48" s="6">
        <f>D$32*Data_checks!$F56</f>
        <v>533.09707631945321</v>
      </c>
      <c r="E48" s="6">
        <f>E$32*Data_checks!$F56</f>
        <v>556.42007340842929</v>
      </c>
      <c r="F48" s="6">
        <f>F$32*Data_checks!$F56</f>
        <v>655.93152765472723</v>
      </c>
      <c r="G48" s="6">
        <f>G$32*Data_checks!$F56</f>
        <v>573.07935704341219</v>
      </c>
      <c r="H48" s="6">
        <f>H$32*Data_checks!$F56</f>
        <v>538.65017086444755</v>
      </c>
      <c r="I48" s="6">
        <f>I$32*Data_checks!$F56</f>
        <v>696.35805594228577</v>
      </c>
      <c r="J48" s="6">
        <f>J$32*Data_checks!$F56</f>
        <v>623.057207948361</v>
      </c>
      <c r="K48" s="6">
        <f>K$32*Data_checks!$F56</f>
        <v>490.89355777749654</v>
      </c>
      <c r="L48" s="6">
        <f>L$32*Data_checks!$F56</f>
        <v>647.04657638273636</v>
      </c>
      <c r="M48" s="6">
        <f>M$32*Data_checks!$F56</f>
        <v>573.07935704341219</v>
      </c>
      <c r="N48" s="6">
        <f>N$32*Data_checks!$F56</f>
        <v>463.12808505252502</v>
      </c>
      <c r="P48" s="13" t="s">
        <v>35</v>
      </c>
    </row>
    <row r="49" spans="2:16" x14ac:dyDescent="0.3">
      <c r="B49" s="23">
        <f>Data!B34</f>
        <v>14</v>
      </c>
      <c r="C49" s="6">
        <f>C$32*Data_checks!$F57</f>
        <v>480.49360840399953</v>
      </c>
      <c r="D49" s="6">
        <f>D$32*Data_checks!$F57</f>
        <v>382.73636248576133</v>
      </c>
      <c r="E49" s="6">
        <f>E$32*Data_checks!$F57</f>
        <v>399.48107834451338</v>
      </c>
      <c r="F49" s="6">
        <f>F$32*Data_checks!$F57</f>
        <v>470.92519934185549</v>
      </c>
      <c r="G49" s="6">
        <f>G$32*Data_checks!$F57</f>
        <v>411.4415896721934</v>
      </c>
      <c r="H49" s="6">
        <f>H$32*Data_checks!$F57</f>
        <v>386.72319959498799</v>
      </c>
      <c r="I49" s="6">
        <f>I$32*Data_checks!$F57</f>
        <v>499.9493734970257</v>
      </c>
      <c r="J49" s="6">
        <f>J$32*Data_checks!$F57</f>
        <v>447.32312365523353</v>
      </c>
      <c r="K49" s="6">
        <f>K$32*Data_checks!$F57</f>
        <v>352.43640045563853</v>
      </c>
      <c r="L49" s="6">
        <f>L$32*Data_checks!$F57</f>
        <v>464.54625996709279</v>
      </c>
      <c r="M49" s="6">
        <f>M$32*Data_checks!$F57</f>
        <v>411.4415896721934</v>
      </c>
      <c r="N49" s="6">
        <f>N$32*Data_checks!$F57</f>
        <v>332.50221490950514</v>
      </c>
      <c r="O49" s="6">
        <f>SUM(C36:N49)</f>
        <v>2844360.0000000005</v>
      </c>
      <c r="P49" s="6" t="str">
        <f>IF(O49=O32,"Data is internally consistent","Data is not consistent. Please check")</f>
        <v>Data is internally consistent</v>
      </c>
    </row>
    <row r="50" spans="2:16" s="1" customFormat="1" x14ac:dyDescent="0.3">
      <c r="B50" s="1" t="s">
        <v>21</v>
      </c>
      <c r="C50" s="17">
        <f>SUM(C36:C49)</f>
        <v>271170.00000000006</v>
      </c>
      <c r="D50" s="17">
        <f t="shared" ref="D50:N50" si="6">SUM(D36:D49)</f>
        <v>215999.99999999997</v>
      </c>
      <c r="E50" s="17">
        <f t="shared" si="6"/>
        <v>225450</v>
      </c>
      <c r="F50" s="17">
        <f t="shared" si="6"/>
        <v>265770</v>
      </c>
      <c r="G50" s="17">
        <f t="shared" si="6"/>
        <v>232200</v>
      </c>
      <c r="H50" s="17">
        <f t="shared" si="6"/>
        <v>218250.00000000006</v>
      </c>
      <c r="I50" s="17">
        <f t="shared" si="6"/>
        <v>282150</v>
      </c>
      <c r="J50" s="17">
        <f t="shared" si="6"/>
        <v>252449.99999999997</v>
      </c>
      <c r="K50" s="17">
        <f t="shared" si="6"/>
        <v>198899.99999999997</v>
      </c>
      <c r="L50" s="17">
        <f t="shared" si="6"/>
        <v>262170</v>
      </c>
      <c r="M50" s="17">
        <f t="shared" si="6"/>
        <v>232200</v>
      </c>
      <c r="N50" s="17">
        <f t="shared" si="6"/>
        <v>187650</v>
      </c>
    </row>
    <row r="51" spans="2:16" s="18" customFormat="1" x14ac:dyDescent="0.3">
      <c r="B51" s="18" t="s">
        <v>56</v>
      </c>
      <c r="C51" s="30" t="b">
        <f>C50=C32</f>
        <v>1</v>
      </c>
      <c r="D51" s="30" t="b">
        <f t="shared" ref="D51:N51" si="7">D50=D32</f>
        <v>1</v>
      </c>
      <c r="E51" s="30" t="b">
        <f t="shared" si="7"/>
        <v>1</v>
      </c>
      <c r="F51" s="30" t="b">
        <f t="shared" si="7"/>
        <v>1</v>
      </c>
      <c r="G51" s="30" t="b">
        <f t="shared" si="7"/>
        <v>1</v>
      </c>
      <c r="H51" s="30" t="b">
        <f t="shared" si="7"/>
        <v>1</v>
      </c>
      <c r="I51" s="30" t="b">
        <f t="shared" si="7"/>
        <v>1</v>
      </c>
      <c r="J51" s="30" t="b">
        <f t="shared" si="7"/>
        <v>1</v>
      </c>
      <c r="K51" s="30" t="b">
        <f t="shared" si="7"/>
        <v>1</v>
      </c>
      <c r="L51" s="30" t="b">
        <f t="shared" si="7"/>
        <v>1</v>
      </c>
      <c r="M51" s="30" t="b">
        <f t="shared" si="7"/>
        <v>1</v>
      </c>
      <c r="N51" s="30" t="b">
        <f t="shared" si="7"/>
        <v>1</v>
      </c>
    </row>
    <row r="53" spans="2:16" x14ac:dyDescent="0.3">
      <c r="B53" s="1" t="s">
        <v>64</v>
      </c>
    </row>
    <row r="54" spans="2:16" x14ac:dyDescent="0.3">
      <c r="C54" s="22" t="str">
        <f t="shared" ref="C54:N54" si="8">C35</f>
        <v>Jan</v>
      </c>
      <c r="D54" s="22" t="str">
        <f t="shared" si="8"/>
        <v>Feb</v>
      </c>
      <c r="E54" s="22" t="str">
        <f t="shared" si="8"/>
        <v>Mar</v>
      </c>
      <c r="F54" s="22" t="str">
        <f t="shared" si="8"/>
        <v>Apr</v>
      </c>
      <c r="G54" s="22" t="str">
        <f t="shared" si="8"/>
        <v>May</v>
      </c>
      <c r="H54" s="22" t="str">
        <f t="shared" si="8"/>
        <v>Jun</v>
      </c>
      <c r="I54" s="22" t="str">
        <f t="shared" si="8"/>
        <v>Jul</v>
      </c>
      <c r="J54" s="22" t="str">
        <f t="shared" si="8"/>
        <v>Aug</v>
      </c>
      <c r="K54" s="22" t="str">
        <f t="shared" si="8"/>
        <v>Sep</v>
      </c>
      <c r="L54" s="22" t="str">
        <f t="shared" si="8"/>
        <v>Oct</v>
      </c>
      <c r="M54" s="22" t="str">
        <f t="shared" si="8"/>
        <v>Nov</v>
      </c>
      <c r="N54" s="22" t="str">
        <f t="shared" si="8"/>
        <v>Dec</v>
      </c>
    </row>
    <row r="55" spans="2:16" x14ac:dyDescent="0.3">
      <c r="B55" s="1" t="s">
        <v>22</v>
      </c>
      <c r="C55" s="6">
        <f>SUMIF($B$36:$B$49,"&lt;"&amp;Parameters!$C$16,C$36:C$49)*Parameters!$C$6</f>
        <v>3525210.0000000009</v>
      </c>
      <c r="D55" s="6">
        <f>SUMIF($B$36:$B$49,"&lt;"&amp;Parameters!$C$16,D$36:D$49)*Parameters!$C$6</f>
        <v>2807999.9999999995</v>
      </c>
      <c r="E55" s="6">
        <f>SUMIF($B$36:$B$49,"&lt;"&amp;Parameters!$C$16,E$36:E$49)*Parameters!$C$6</f>
        <v>2930850</v>
      </c>
      <c r="F55" s="6">
        <f>SUMIF($B$36:$B$49,"&lt;"&amp;Parameters!$C$16,F$36:F$49)*Parameters!$C$6</f>
        <v>3455010</v>
      </c>
      <c r="G55" s="6">
        <f>SUMIF($B$36:$B$49,"&lt;"&amp;Parameters!$C$16,G$36:G$49)*Parameters!$C$6</f>
        <v>3018600</v>
      </c>
      <c r="H55" s="6">
        <f>SUMIF($B$36:$B$49,"&lt;"&amp;Parameters!$C$16,H$36:H$49)*Parameters!$C$6</f>
        <v>2837250.0000000009</v>
      </c>
      <c r="I55" s="6">
        <f>SUMIF($B$36:$B$49,"&lt;"&amp;Parameters!$C$16,I$36:I$49)*Parameters!$C$6</f>
        <v>3667950</v>
      </c>
      <c r="J55" s="6">
        <f>SUMIF($B$36:$B$49,"&lt;"&amp;Parameters!$C$16,J$36:J$49)*Parameters!$C$6</f>
        <v>3281849.9999999995</v>
      </c>
      <c r="K55" s="6">
        <f>SUMIF($B$36:$B$49,"&lt;"&amp;Parameters!$C$16,K$36:K$49)*Parameters!$C$6</f>
        <v>2585699.9999999995</v>
      </c>
      <c r="L55" s="6">
        <f>SUMIF($B$36:$B$49,"&lt;"&amp;Parameters!$C$16,L$36:L$49)*Parameters!$C$6</f>
        <v>3408210</v>
      </c>
      <c r="M55" s="6">
        <f>SUMIF($B$36:$B$49,"&lt;"&amp;Parameters!$C$16,M$36:M$49)*Parameters!$C$6</f>
        <v>3018600</v>
      </c>
      <c r="N55" s="6">
        <f>SUMIF($B$36:$B$49,"&lt;"&amp;Parameters!$C$16,N$36:N$49)*Parameters!$C$6</f>
        <v>2439450</v>
      </c>
    </row>
    <row r="56" spans="2:16" x14ac:dyDescent="0.3">
      <c r="B56" s="1"/>
      <c r="C56" s="6"/>
      <c r="D56" s="6"/>
      <c r="E56" s="6"/>
      <c r="F56" s="6"/>
      <c r="G56" s="6"/>
      <c r="H56" s="6"/>
      <c r="I56" s="6"/>
      <c r="J56" s="6"/>
      <c r="K56" s="6"/>
      <c r="L56" s="6"/>
      <c r="M56" s="6"/>
      <c r="N56" s="6"/>
    </row>
    <row r="57" spans="2:16" x14ac:dyDescent="0.3">
      <c r="B57" s="1" t="s">
        <v>101</v>
      </c>
    </row>
    <row r="58" spans="2:16" x14ac:dyDescent="0.3">
      <c r="B58" s="23">
        <f>Data!B21</f>
        <v>1</v>
      </c>
      <c r="C58" s="8">
        <f>IF($B36&gt;=Parameters!$C$16,C36/$B36,0)*Parameters!$C$15</f>
        <v>0</v>
      </c>
      <c r="D58" s="8">
        <f>IF($B36&gt;=Parameters!$C$16,D36/$B36,0)*Parameters!$C$15</f>
        <v>0</v>
      </c>
      <c r="E58" s="8">
        <f>IF($B36&gt;=Parameters!$C$16,E36/$B36,0)*Parameters!$C$15</f>
        <v>0</v>
      </c>
      <c r="F58" s="8">
        <f>IF($B36&gt;=Parameters!$C$16,F36/$B36,0)*Parameters!$C$15</f>
        <v>0</v>
      </c>
      <c r="G58" s="8">
        <f>IF($B36&gt;=Parameters!$C$16,G36/$B36,0)*Parameters!$C$15</f>
        <v>0</v>
      </c>
      <c r="H58" s="8">
        <f>IF($B36&gt;=Parameters!$C$16,H36/$B36,0)*Parameters!$C$15</f>
        <v>0</v>
      </c>
      <c r="I58" s="8">
        <f>IF($B36&gt;=Parameters!$C$16,I36/$B36,0)*Parameters!$C$15</f>
        <v>0</v>
      </c>
      <c r="J58" s="8">
        <f>IF($B36&gt;=Parameters!$C$16,J36/$B36,0)*Parameters!$C$15</f>
        <v>0</v>
      </c>
      <c r="K58" s="8">
        <f>IF($B36&gt;=Parameters!$C$16,K36/$B36,0)*Parameters!$C$15</f>
        <v>0</v>
      </c>
      <c r="L58" s="8">
        <f>IF($B36&gt;=Parameters!$C$16,L36/$B36,0)*Parameters!$C$15</f>
        <v>0</v>
      </c>
      <c r="M58" s="8">
        <f>IF($B36&gt;=Parameters!$C$16,M36/$B36,0)*Parameters!$C$15</f>
        <v>0</v>
      </c>
      <c r="N58" s="8">
        <f>IF($B36&gt;=Parameters!$C$16,N36/$B36,0)*Parameters!$C$15</f>
        <v>0</v>
      </c>
    </row>
    <row r="59" spans="2:16" x14ac:dyDescent="0.3">
      <c r="B59" s="23">
        <f>Data!B22</f>
        <v>2</v>
      </c>
      <c r="C59" s="8">
        <f>IF($B37&gt;=Parameters!$C$16,C37/$B37,0)*Parameters!$C$15</f>
        <v>0</v>
      </c>
      <c r="D59" s="8">
        <f>IF($B37&gt;=Parameters!$C$16,D37/$B37,0)*Parameters!$C$15</f>
        <v>0</v>
      </c>
      <c r="E59" s="8">
        <f>IF($B37&gt;=Parameters!$C$16,E37/$B37,0)*Parameters!$C$15</f>
        <v>0</v>
      </c>
      <c r="F59" s="8">
        <f>IF($B37&gt;=Parameters!$C$16,F37/$B37,0)*Parameters!$C$15</f>
        <v>0</v>
      </c>
      <c r="G59" s="8">
        <f>IF($B37&gt;=Parameters!$C$16,G37/$B37,0)*Parameters!$C$15</f>
        <v>0</v>
      </c>
      <c r="H59" s="8">
        <f>IF($B37&gt;=Parameters!$C$16,H37/$B37,0)*Parameters!$C$15</f>
        <v>0</v>
      </c>
      <c r="I59" s="8">
        <f>IF($B37&gt;=Parameters!$C$16,I37/$B37,0)*Parameters!$C$15</f>
        <v>0</v>
      </c>
      <c r="J59" s="8">
        <f>IF($B37&gt;=Parameters!$C$16,J37/$B37,0)*Parameters!$C$15</f>
        <v>0</v>
      </c>
      <c r="K59" s="8">
        <f>IF($B37&gt;=Parameters!$C$16,K37/$B37,0)*Parameters!$C$15</f>
        <v>0</v>
      </c>
      <c r="L59" s="8">
        <f>IF($B37&gt;=Parameters!$C$16,L37/$B37,0)*Parameters!$C$15</f>
        <v>0</v>
      </c>
      <c r="M59" s="8">
        <f>IF($B37&gt;=Parameters!$C$16,M37/$B37,0)*Parameters!$C$15</f>
        <v>0</v>
      </c>
      <c r="N59" s="8">
        <f>IF($B37&gt;=Parameters!$C$16,N37/$B37,0)*Parameters!$C$15</f>
        <v>0</v>
      </c>
    </row>
    <row r="60" spans="2:16" x14ac:dyDescent="0.3">
      <c r="B60" s="23">
        <f>Data!B23</f>
        <v>3</v>
      </c>
      <c r="C60" s="8">
        <f>IF($B38&gt;=Parameters!$C$16,C38/$B38,0)*Parameters!$C$15</f>
        <v>0</v>
      </c>
      <c r="D60" s="8">
        <f>IF($B38&gt;=Parameters!$C$16,D38/$B38,0)*Parameters!$C$15</f>
        <v>0</v>
      </c>
      <c r="E60" s="8">
        <f>IF($B38&gt;=Parameters!$C$16,E38/$B38,0)*Parameters!$C$15</f>
        <v>0</v>
      </c>
      <c r="F60" s="8">
        <f>IF($B38&gt;=Parameters!$C$16,F38/$B38,0)*Parameters!$C$15</f>
        <v>0</v>
      </c>
      <c r="G60" s="8">
        <f>IF($B38&gt;=Parameters!$C$16,G38/$B38,0)*Parameters!$C$15</f>
        <v>0</v>
      </c>
      <c r="H60" s="8">
        <f>IF($B38&gt;=Parameters!$C$16,H38/$B38,0)*Parameters!$C$15</f>
        <v>0</v>
      </c>
      <c r="I60" s="8">
        <f>IF($B38&gt;=Parameters!$C$16,I38/$B38,0)*Parameters!$C$15</f>
        <v>0</v>
      </c>
      <c r="J60" s="8">
        <f>IF($B38&gt;=Parameters!$C$16,J38/$B38,0)*Parameters!$C$15</f>
        <v>0</v>
      </c>
      <c r="K60" s="8">
        <f>IF($B38&gt;=Parameters!$C$16,K38/$B38,0)*Parameters!$C$15</f>
        <v>0</v>
      </c>
      <c r="L60" s="8">
        <f>IF($B38&gt;=Parameters!$C$16,L38/$B38,0)*Parameters!$C$15</f>
        <v>0</v>
      </c>
      <c r="M60" s="8">
        <f>IF($B38&gt;=Parameters!$C$16,M38/$B38,0)*Parameters!$C$15</f>
        <v>0</v>
      </c>
      <c r="N60" s="8">
        <f>IF($B38&gt;=Parameters!$C$16,N38/$B38,0)*Parameters!$C$15</f>
        <v>0</v>
      </c>
    </row>
    <row r="61" spans="2:16" x14ac:dyDescent="0.3">
      <c r="B61" s="23">
        <f>Data!B24</f>
        <v>4</v>
      </c>
      <c r="C61" s="8">
        <f>IF($B39&gt;=Parameters!$C$16,C39/$B39,0)*Parameters!$C$15</f>
        <v>0</v>
      </c>
      <c r="D61" s="8">
        <f>IF($B39&gt;=Parameters!$C$16,D39/$B39,0)*Parameters!$C$15</f>
        <v>0</v>
      </c>
      <c r="E61" s="8">
        <f>IF($B39&gt;=Parameters!$C$16,E39/$B39,0)*Parameters!$C$15</f>
        <v>0</v>
      </c>
      <c r="F61" s="8">
        <f>IF($B39&gt;=Parameters!$C$16,F39/$B39,0)*Parameters!$C$15</f>
        <v>0</v>
      </c>
      <c r="G61" s="8">
        <f>IF($B39&gt;=Parameters!$C$16,G39/$B39,0)*Parameters!$C$15</f>
        <v>0</v>
      </c>
      <c r="H61" s="8">
        <f>IF($B39&gt;=Parameters!$C$16,H39/$B39,0)*Parameters!$C$15</f>
        <v>0</v>
      </c>
      <c r="I61" s="8">
        <f>IF($B39&gt;=Parameters!$C$16,I39/$B39,0)*Parameters!$C$15</f>
        <v>0</v>
      </c>
      <c r="J61" s="8">
        <f>IF($B39&gt;=Parameters!$C$16,J39/$B39,0)*Parameters!$C$15</f>
        <v>0</v>
      </c>
      <c r="K61" s="8">
        <f>IF($B39&gt;=Parameters!$C$16,K39/$B39,0)*Parameters!$C$15</f>
        <v>0</v>
      </c>
      <c r="L61" s="8">
        <f>IF($B39&gt;=Parameters!$C$16,L39/$B39,0)*Parameters!$C$15</f>
        <v>0</v>
      </c>
      <c r="M61" s="8">
        <f>IF($B39&gt;=Parameters!$C$16,M39/$B39,0)*Parameters!$C$15</f>
        <v>0</v>
      </c>
      <c r="N61" s="8">
        <f>IF($B39&gt;=Parameters!$C$16,N39/$B39,0)*Parameters!$C$15</f>
        <v>0</v>
      </c>
    </row>
    <row r="62" spans="2:16" x14ac:dyDescent="0.3">
      <c r="B62" s="23">
        <f>Data!B25</f>
        <v>5</v>
      </c>
      <c r="C62" s="8">
        <f>IF($B40&gt;=Parameters!$C$16,C40/$B40,0)*Parameters!$C$15</f>
        <v>0</v>
      </c>
      <c r="D62" s="8">
        <f>IF($B40&gt;=Parameters!$C$16,D40/$B40,0)*Parameters!$C$15</f>
        <v>0</v>
      </c>
      <c r="E62" s="8">
        <f>IF($B40&gt;=Parameters!$C$16,E40/$B40,0)*Parameters!$C$15</f>
        <v>0</v>
      </c>
      <c r="F62" s="8">
        <f>IF($B40&gt;=Parameters!$C$16,F40/$B40,0)*Parameters!$C$15</f>
        <v>0</v>
      </c>
      <c r="G62" s="8">
        <f>IF($B40&gt;=Parameters!$C$16,G40/$B40,0)*Parameters!$C$15</f>
        <v>0</v>
      </c>
      <c r="H62" s="8">
        <f>IF($B40&gt;=Parameters!$C$16,H40/$B40,0)*Parameters!$C$15</f>
        <v>0</v>
      </c>
      <c r="I62" s="8">
        <f>IF($B40&gt;=Parameters!$C$16,I40/$B40,0)*Parameters!$C$15</f>
        <v>0</v>
      </c>
      <c r="J62" s="8">
        <f>IF($B40&gt;=Parameters!$C$16,J40/$B40,0)*Parameters!$C$15</f>
        <v>0</v>
      </c>
      <c r="K62" s="8">
        <f>IF($B40&gt;=Parameters!$C$16,K40/$B40,0)*Parameters!$C$15</f>
        <v>0</v>
      </c>
      <c r="L62" s="8">
        <f>IF($B40&gt;=Parameters!$C$16,L40/$B40,0)*Parameters!$C$15</f>
        <v>0</v>
      </c>
      <c r="M62" s="8">
        <f>IF($B40&gt;=Parameters!$C$16,M40/$B40,0)*Parameters!$C$15</f>
        <v>0</v>
      </c>
      <c r="N62" s="8">
        <f>IF($B40&gt;=Parameters!$C$16,N40/$B40,0)*Parameters!$C$15</f>
        <v>0</v>
      </c>
    </row>
    <row r="63" spans="2:16" x14ac:dyDescent="0.3">
      <c r="B63" s="23">
        <f>Data!B26</f>
        <v>6</v>
      </c>
      <c r="C63" s="8">
        <f>IF($B41&gt;=Parameters!$C$16,C41/$B41,0)*Parameters!$C$15</f>
        <v>0</v>
      </c>
      <c r="D63" s="8">
        <f>IF($B41&gt;=Parameters!$C$16,D41/$B41,0)*Parameters!$C$15</f>
        <v>0</v>
      </c>
      <c r="E63" s="8">
        <f>IF($B41&gt;=Parameters!$C$16,E41/$B41,0)*Parameters!$C$15</f>
        <v>0</v>
      </c>
      <c r="F63" s="8">
        <f>IF($B41&gt;=Parameters!$C$16,F41/$B41,0)*Parameters!$C$15</f>
        <v>0</v>
      </c>
      <c r="G63" s="8">
        <f>IF($B41&gt;=Parameters!$C$16,G41/$B41,0)*Parameters!$C$15</f>
        <v>0</v>
      </c>
      <c r="H63" s="8">
        <f>IF($B41&gt;=Parameters!$C$16,H41/$B41,0)*Parameters!$C$15</f>
        <v>0</v>
      </c>
      <c r="I63" s="8">
        <f>IF($B41&gt;=Parameters!$C$16,I41/$B41,0)*Parameters!$C$15</f>
        <v>0</v>
      </c>
      <c r="J63" s="8">
        <f>IF($B41&gt;=Parameters!$C$16,J41/$B41,0)*Parameters!$C$15</f>
        <v>0</v>
      </c>
      <c r="K63" s="8">
        <f>IF($B41&gt;=Parameters!$C$16,K41/$B41,0)*Parameters!$C$15</f>
        <v>0</v>
      </c>
      <c r="L63" s="8">
        <f>IF($B41&gt;=Parameters!$C$16,L41/$B41,0)*Parameters!$C$15</f>
        <v>0</v>
      </c>
      <c r="M63" s="8">
        <f>IF($B41&gt;=Parameters!$C$16,M41/$B41,0)*Parameters!$C$15</f>
        <v>0</v>
      </c>
      <c r="N63" s="8">
        <f>IF($B41&gt;=Parameters!$C$16,N41/$B41,0)*Parameters!$C$15</f>
        <v>0</v>
      </c>
    </row>
    <row r="64" spans="2:16" x14ac:dyDescent="0.3">
      <c r="B64" s="23">
        <f>Data!B27</f>
        <v>7</v>
      </c>
      <c r="C64" s="8">
        <f>IF($B42&gt;=Parameters!$C$16,C42/$B42,0)*Parameters!$C$15</f>
        <v>0</v>
      </c>
      <c r="D64" s="8">
        <f>IF($B42&gt;=Parameters!$C$16,D42/$B42,0)*Parameters!$C$15</f>
        <v>0</v>
      </c>
      <c r="E64" s="8">
        <f>IF($B42&gt;=Parameters!$C$16,E42/$B42,0)*Parameters!$C$15</f>
        <v>0</v>
      </c>
      <c r="F64" s="8">
        <f>IF($B42&gt;=Parameters!$C$16,F42/$B42,0)*Parameters!$C$15</f>
        <v>0</v>
      </c>
      <c r="G64" s="8">
        <f>IF($B42&gt;=Parameters!$C$16,G42/$B42,0)*Parameters!$C$15</f>
        <v>0</v>
      </c>
      <c r="H64" s="8">
        <f>IF($B42&gt;=Parameters!$C$16,H42/$B42,0)*Parameters!$C$15</f>
        <v>0</v>
      </c>
      <c r="I64" s="8">
        <f>IF($B42&gt;=Parameters!$C$16,I42/$B42,0)*Parameters!$C$15</f>
        <v>0</v>
      </c>
      <c r="J64" s="8">
        <f>IF($B42&gt;=Parameters!$C$16,J42/$B42,0)*Parameters!$C$15</f>
        <v>0</v>
      </c>
      <c r="K64" s="8">
        <f>IF($B42&gt;=Parameters!$C$16,K42/$B42,0)*Parameters!$C$15</f>
        <v>0</v>
      </c>
      <c r="L64" s="8">
        <f>IF($B42&gt;=Parameters!$C$16,L42/$B42,0)*Parameters!$C$15</f>
        <v>0</v>
      </c>
      <c r="M64" s="8">
        <f>IF($B42&gt;=Parameters!$C$16,M42/$B42,0)*Parameters!$C$15</f>
        <v>0</v>
      </c>
      <c r="N64" s="8">
        <f>IF($B42&gt;=Parameters!$C$16,N42/$B42,0)*Parameters!$C$15</f>
        <v>0</v>
      </c>
    </row>
    <row r="65" spans="2:14" x14ac:dyDescent="0.3">
      <c r="B65" s="23">
        <f>Data!B28</f>
        <v>8</v>
      </c>
      <c r="C65" s="8">
        <f>IF($B43&gt;=Parameters!$C$16,C43/$B43,0)*Parameters!$C$15</f>
        <v>0</v>
      </c>
      <c r="D65" s="8">
        <f>IF($B43&gt;=Parameters!$C$16,D43/$B43,0)*Parameters!$C$15</f>
        <v>0</v>
      </c>
      <c r="E65" s="8">
        <f>IF($B43&gt;=Parameters!$C$16,E43/$B43,0)*Parameters!$C$15</f>
        <v>0</v>
      </c>
      <c r="F65" s="8">
        <f>IF($B43&gt;=Parameters!$C$16,F43/$B43,0)*Parameters!$C$15</f>
        <v>0</v>
      </c>
      <c r="G65" s="8">
        <f>IF($B43&gt;=Parameters!$C$16,G43/$B43,0)*Parameters!$C$15</f>
        <v>0</v>
      </c>
      <c r="H65" s="8">
        <f>IF($B43&gt;=Parameters!$C$16,H43/$B43,0)*Parameters!$C$15</f>
        <v>0</v>
      </c>
      <c r="I65" s="8">
        <f>IF($B43&gt;=Parameters!$C$16,I43/$B43,0)*Parameters!$C$15</f>
        <v>0</v>
      </c>
      <c r="J65" s="8">
        <f>IF($B43&gt;=Parameters!$C$16,J43/$B43,0)*Parameters!$C$15</f>
        <v>0</v>
      </c>
      <c r="K65" s="8">
        <f>IF($B43&gt;=Parameters!$C$16,K43/$B43,0)*Parameters!$C$15</f>
        <v>0</v>
      </c>
      <c r="L65" s="8">
        <f>IF($B43&gt;=Parameters!$C$16,L43/$B43,0)*Parameters!$C$15</f>
        <v>0</v>
      </c>
      <c r="M65" s="8">
        <f>IF($B43&gt;=Parameters!$C$16,M43/$B43,0)*Parameters!$C$15</f>
        <v>0</v>
      </c>
      <c r="N65" s="8">
        <f>IF($B43&gt;=Parameters!$C$16,N43/$B43,0)*Parameters!$C$15</f>
        <v>0</v>
      </c>
    </row>
    <row r="66" spans="2:14" x14ac:dyDescent="0.3">
      <c r="B66" s="23">
        <f>Data!B29</f>
        <v>9</v>
      </c>
      <c r="C66" s="8">
        <f>IF($B44&gt;=Parameters!$C$16,C44/$B44,0)*Parameters!$C$15</f>
        <v>0</v>
      </c>
      <c r="D66" s="8">
        <f>IF($B44&gt;=Parameters!$C$16,D44/$B44,0)*Parameters!$C$15</f>
        <v>0</v>
      </c>
      <c r="E66" s="8">
        <f>IF($B44&gt;=Parameters!$C$16,E44/$B44,0)*Parameters!$C$15</f>
        <v>0</v>
      </c>
      <c r="F66" s="8">
        <f>IF($B44&gt;=Parameters!$C$16,F44/$B44,0)*Parameters!$C$15</f>
        <v>0</v>
      </c>
      <c r="G66" s="8">
        <f>IF($B44&gt;=Parameters!$C$16,G44/$B44,0)*Parameters!$C$15</f>
        <v>0</v>
      </c>
      <c r="H66" s="8">
        <f>IF($B44&gt;=Parameters!$C$16,H44/$B44,0)*Parameters!$C$15</f>
        <v>0</v>
      </c>
      <c r="I66" s="8">
        <f>IF($B44&gt;=Parameters!$C$16,I44/$B44,0)*Parameters!$C$15</f>
        <v>0</v>
      </c>
      <c r="J66" s="8">
        <f>IF($B44&gt;=Parameters!$C$16,J44/$B44,0)*Parameters!$C$15</f>
        <v>0</v>
      </c>
      <c r="K66" s="8">
        <f>IF($B44&gt;=Parameters!$C$16,K44/$B44,0)*Parameters!$C$15</f>
        <v>0</v>
      </c>
      <c r="L66" s="8">
        <f>IF($B44&gt;=Parameters!$C$16,L44/$B44,0)*Parameters!$C$15</f>
        <v>0</v>
      </c>
      <c r="M66" s="8">
        <f>IF($B44&gt;=Parameters!$C$16,M44/$B44,0)*Parameters!$C$15</f>
        <v>0</v>
      </c>
      <c r="N66" s="8">
        <f>IF($B44&gt;=Parameters!$C$16,N44/$B44,0)*Parameters!$C$15</f>
        <v>0</v>
      </c>
    </row>
    <row r="67" spans="2:14" x14ac:dyDescent="0.3">
      <c r="B67" s="23">
        <f>Data!B30</f>
        <v>10</v>
      </c>
      <c r="C67" s="8">
        <f>IF($B45&gt;=Parameters!$C$16,C45/$B45,0)*Parameters!$C$15</f>
        <v>0</v>
      </c>
      <c r="D67" s="8">
        <f>IF($B45&gt;=Parameters!$C$16,D45/$B45,0)*Parameters!$C$15</f>
        <v>0</v>
      </c>
      <c r="E67" s="8">
        <f>IF($B45&gt;=Parameters!$C$16,E45/$B45,0)*Parameters!$C$15</f>
        <v>0</v>
      </c>
      <c r="F67" s="8">
        <f>IF($B45&gt;=Parameters!$C$16,F45/$B45,0)*Parameters!$C$15</f>
        <v>0</v>
      </c>
      <c r="G67" s="8">
        <f>IF($B45&gt;=Parameters!$C$16,G45/$B45,0)*Parameters!$C$15</f>
        <v>0</v>
      </c>
      <c r="H67" s="8">
        <f>IF($B45&gt;=Parameters!$C$16,H45/$B45,0)*Parameters!$C$15</f>
        <v>0</v>
      </c>
      <c r="I67" s="8">
        <f>IF($B45&gt;=Parameters!$C$16,I45/$B45,0)*Parameters!$C$15</f>
        <v>0</v>
      </c>
      <c r="J67" s="8">
        <f>IF($B45&gt;=Parameters!$C$16,J45/$B45,0)*Parameters!$C$15</f>
        <v>0</v>
      </c>
      <c r="K67" s="8">
        <f>IF($B45&gt;=Parameters!$C$16,K45/$B45,0)*Parameters!$C$15</f>
        <v>0</v>
      </c>
      <c r="L67" s="8">
        <f>IF($B45&gt;=Parameters!$C$16,L45/$B45,0)*Parameters!$C$15</f>
        <v>0</v>
      </c>
      <c r="M67" s="8">
        <f>IF($B45&gt;=Parameters!$C$16,M45/$B45,0)*Parameters!$C$15</f>
        <v>0</v>
      </c>
      <c r="N67" s="8">
        <f>IF($B45&gt;=Parameters!$C$16,N45/$B45,0)*Parameters!$C$15</f>
        <v>0</v>
      </c>
    </row>
    <row r="68" spans="2:14" x14ac:dyDescent="0.3">
      <c r="B68" s="23">
        <f>Data!B31</f>
        <v>11</v>
      </c>
      <c r="C68" s="8">
        <f>IF($B46&gt;=Parameters!$C$16,C46/$B46,0)*Parameters!$C$15</f>
        <v>0</v>
      </c>
      <c r="D68" s="8">
        <f>IF($B46&gt;=Parameters!$C$16,D46/$B46,0)*Parameters!$C$15</f>
        <v>0</v>
      </c>
      <c r="E68" s="8">
        <f>IF($B46&gt;=Parameters!$C$16,E46/$B46,0)*Parameters!$C$15</f>
        <v>0</v>
      </c>
      <c r="F68" s="8">
        <f>IF($B46&gt;=Parameters!$C$16,F46/$B46,0)*Parameters!$C$15</f>
        <v>0</v>
      </c>
      <c r="G68" s="8">
        <f>IF($B46&gt;=Parameters!$C$16,G46/$B46,0)*Parameters!$C$15</f>
        <v>0</v>
      </c>
      <c r="H68" s="8">
        <f>IF($B46&gt;=Parameters!$C$16,H46/$B46,0)*Parameters!$C$15</f>
        <v>0</v>
      </c>
      <c r="I68" s="8">
        <f>IF($B46&gt;=Parameters!$C$16,I46/$B46,0)*Parameters!$C$15</f>
        <v>0</v>
      </c>
      <c r="J68" s="8">
        <f>IF($B46&gt;=Parameters!$C$16,J46/$B46,0)*Parameters!$C$15</f>
        <v>0</v>
      </c>
      <c r="K68" s="8">
        <f>IF($B46&gt;=Parameters!$C$16,K46/$B46,0)*Parameters!$C$15</f>
        <v>0</v>
      </c>
      <c r="L68" s="8">
        <f>IF($B46&gt;=Parameters!$C$16,L46/$B46,0)*Parameters!$C$15</f>
        <v>0</v>
      </c>
      <c r="M68" s="8">
        <f>IF($B46&gt;=Parameters!$C$16,M46/$B46,0)*Parameters!$C$15</f>
        <v>0</v>
      </c>
      <c r="N68" s="8">
        <f>IF($B46&gt;=Parameters!$C$16,N46/$B46,0)*Parameters!$C$15</f>
        <v>0</v>
      </c>
    </row>
    <row r="69" spans="2:14" x14ac:dyDescent="0.3">
      <c r="B69" s="23">
        <f>Data!B32</f>
        <v>12</v>
      </c>
      <c r="C69" s="8">
        <f>IF($B47&gt;=Parameters!$C$16,C47/$B47,0)*Parameters!$C$15</f>
        <v>0</v>
      </c>
      <c r="D69" s="8">
        <f>IF($B47&gt;=Parameters!$C$16,D47/$B47,0)*Parameters!$C$15</f>
        <v>0</v>
      </c>
      <c r="E69" s="8">
        <f>IF($B47&gt;=Parameters!$C$16,E47/$B47,0)*Parameters!$C$15</f>
        <v>0</v>
      </c>
      <c r="F69" s="8">
        <f>IF($B47&gt;=Parameters!$C$16,F47/$B47,0)*Parameters!$C$15</f>
        <v>0</v>
      </c>
      <c r="G69" s="8">
        <f>IF($B47&gt;=Parameters!$C$16,G47/$B47,0)*Parameters!$C$15</f>
        <v>0</v>
      </c>
      <c r="H69" s="8">
        <f>IF($B47&gt;=Parameters!$C$16,H47/$B47,0)*Parameters!$C$15</f>
        <v>0</v>
      </c>
      <c r="I69" s="8">
        <f>IF($B47&gt;=Parameters!$C$16,I47/$B47,0)*Parameters!$C$15</f>
        <v>0</v>
      </c>
      <c r="J69" s="8">
        <f>IF($B47&gt;=Parameters!$C$16,J47/$B47,0)*Parameters!$C$15</f>
        <v>0</v>
      </c>
      <c r="K69" s="8">
        <f>IF($B47&gt;=Parameters!$C$16,K47/$B47,0)*Parameters!$C$15</f>
        <v>0</v>
      </c>
      <c r="L69" s="8">
        <f>IF($B47&gt;=Parameters!$C$16,L47/$B47,0)*Parameters!$C$15</f>
        <v>0</v>
      </c>
      <c r="M69" s="8">
        <f>IF($B47&gt;=Parameters!$C$16,M47/$B47,0)*Parameters!$C$15</f>
        <v>0</v>
      </c>
      <c r="N69" s="8">
        <f>IF($B47&gt;=Parameters!$C$16,N47/$B47,0)*Parameters!$C$15</f>
        <v>0</v>
      </c>
    </row>
    <row r="70" spans="2:14" x14ac:dyDescent="0.3">
      <c r="B70" s="23">
        <f>Data!B33</f>
        <v>13</v>
      </c>
      <c r="C70" s="8">
        <f>IF($B48&gt;=Parameters!$C$16,C48/$B48,0)*Parameters!$C$15</f>
        <v>0</v>
      </c>
      <c r="D70" s="8">
        <f>IF($B48&gt;=Parameters!$C$16,D48/$B48,0)*Parameters!$C$15</f>
        <v>0</v>
      </c>
      <c r="E70" s="8">
        <f>IF($B48&gt;=Parameters!$C$16,E48/$B48,0)*Parameters!$C$15</f>
        <v>0</v>
      </c>
      <c r="F70" s="8">
        <f>IF($B48&gt;=Parameters!$C$16,F48/$B48,0)*Parameters!$C$15</f>
        <v>0</v>
      </c>
      <c r="G70" s="8">
        <f>IF($B48&gt;=Parameters!$C$16,G48/$B48,0)*Parameters!$C$15</f>
        <v>0</v>
      </c>
      <c r="H70" s="8">
        <f>IF($B48&gt;=Parameters!$C$16,H48/$B48,0)*Parameters!$C$15</f>
        <v>0</v>
      </c>
      <c r="I70" s="8">
        <f>IF($B48&gt;=Parameters!$C$16,I48/$B48,0)*Parameters!$C$15</f>
        <v>0</v>
      </c>
      <c r="J70" s="8">
        <f>IF($B48&gt;=Parameters!$C$16,J48/$B48,0)*Parameters!$C$15</f>
        <v>0</v>
      </c>
      <c r="K70" s="8">
        <f>IF($B48&gt;=Parameters!$C$16,K48/$B48,0)*Parameters!$C$15</f>
        <v>0</v>
      </c>
      <c r="L70" s="8">
        <f>IF($B48&gt;=Parameters!$C$16,L48/$B48,0)*Parameters!$C$15</f>
        <v>0</v>
      </c>
      <c r="M70" s="8">
        <f>IF($B48&gt;=Parameters!$C$16,M48/$B48,0)*Parameters!$C$15</f>
        <v>0</v>
      </c>
      <c r="N70" s="8">
        <f>IF($B48&gt;=Parameters!$C$16,N48/$B48,0)*Parameters!$C$15</f>
        <v>0</v>
      </c>
    </row>
    <row r="71" spans="2:14" x14ac:dyDescent="0.3">
      <c r="B71" s="23">
        <f>Data!B34</f>
        <v>14</v>
      </c>
      <c r="C71" s="8">
        <f>IF($B49&gt;=Parameters!$C$16,C49/$B49,0)*Parameters!$C$15</f>
        <v>0</v>
      </c>
      <c r="D71" s="8">
        <f>IF($B49&gt;=Parameters!$C$16,D49/$B49,0)*Parameters!$C$15</f>
        <v>0</v>
      </c>
      <c r="E71" s="8">
        <f>IF($B49&gt;=Parameters!$C$16,E49/$B49,0)*Parameters!$C$15</f>
        <v>0</v>
      </c>
      <c r="F71" s="8">
        <f>IF($B49&gt;=Parameters!$C$16,F49/$B49,0)*Parameters!$C$15</f>
        <v>0</v>
      </c>
      <c r="G71" s="8">
        <f>IF($B49&gt;=Parameters!$C$16,G49/$B49,0)*Parameters!$C$15</f>
        <v>0</v>
      </c>
      <c r="H71" s="8">
        <f>IF($B49&gt;=Parameters!$C$16,H49/$B49,0)*Parameters!$C$15</f>
        <v>0</v>
      </c>
      <c r="I71" s="8">
        <f>IF($B49&gt;=Parameters!$C$16,I49/$B49,0)*Parameters!$C$15</f>
        <v>0</v>
      </c>
      <c r="J71" s="8">
        <f>IF($B49&gt;=Parameters!$C$16,J49/$B49,0)*Parameters!$C$15</f>
        <v>0</v>
      </c>
      <c r="K71" s="8">
        <f>IF($B49&gt;=Parameters!$C$16,K49/$B49,0)*Parameters!$C$15</f>
        <v>0</v>
      </c>
      <c r="L71" s="8">
        <f>IF($B49&gt;=Parameters!$C$16,L49/$B49,0)*Parameters!$C$15</f>
        <v>0</v>
      </c>
      <c r="M71" s="8">
        <f>IF($B49&gt;=Parameters!$C$16,M49/$B49,0)*Parameters!$C$15</f>
        <v>0</v>
      </c>
      <c r="N71" s="8">
        <f>IF($B49&gt;=Parameters!$C$16,N49/$B49,0)*Parameters!$C$15</f>
        <v>0</v>
      </c>
    </row>
    <row r="72" spans="2:14" x14ac:dyDescent="0.3">
      <c r="B72" s="1" t="s">
        <v>21</v>
      </c>
      <c r="C72" s="9">
        <f>SUM(C58:C71)</f>
        <v>0</v>
      </c>
      <c r="D72" s="9">
        <f t="shared" ref="D72:N72" si="9">SUM(D58:D71)</f>
        <v>0</v>
      </c>
      <c r="E72" s="9">
        <f t="shared" si="9"/>
        <v>0</v>
      </c>
      <c r="F72" s="9">
        <f t="shared" si="9"/>
        <v>0</v>
      </c>
      <c r="G72" s="9">
        <f t="shared" si="9"/>
        <v>0</v>
      </c>
      <c r="H72" s="9">
        <f t="shared" si="9"/>
        <v>0</v>
      </c>
      <c r="I72" s="9">
        <f t="shared" si="9"/>
        <v>0</v>
      </c>
      <c r="J72" s="9">
        <f t="shared" si="9"/>
        <v>0</v>
      </c>
      <c r="K72" s="9">
        <f t="shared" si="9"/>
        <v>0</v>
      </c>
      <c r="L72" s="9">
        <f t="shared" si="9"/>
        <v>0</v>
      </c>
      <c r="M72" s="9">
        <f t="shared" si="9"/>
        <v>0</v>
      </c>
      <c r="N72" s="9">
        <f t="shared" si="9"/>
        <v>0</v>
      </c>
    </row>
    <row r="73" spans="2:14" x14ac:dyDescent="0.3">
      <c r="C73" s="9"/>
      <c r="D73" s="9"/>
      <c r="E73" s="9"/>
      <c r="F73" s="9"/>
      <c r="G73" s="9"/>
      <c r="H73" s="9"/>
      <c r="I73" s="9"/>
      <c r="J73" s="9"/>
      <c r="K73" s="9"/>
      <c r="L73" s="9"/>
      <c r="M73" s="9"/>
      <c r="N73" s="9"/>
    </row>
    <row r="74" spans="2:14" x14ac:dyDescent="0.3">
      <c r="B74" s="1" t="s">
        <v>58</v>
      </c>
    </row>
    <row r="75" spans="2:14" ht="28.8" x14ac:dyDescent="0.3">
      <c r="B75" s="26" t="s">
        <v>57</v>
      </c>
      <c r="C75" s="22" t="str">
        <f t="shared" ref="C75:N75" si="10">C35</f>
        <v>Jan</v>
      </c>
      <c r="D75" s="22" t="str">
        <f t="shared" si="10"/>
        <v>Feb</v>
      </c>
      <c r="E75" s="22" t="str">
        <f t="shared" si="10"/>
        <v>Mar</v>
      </c>
      <c r="F75" s="22" t="str">
        <f t="shared" si="10"/>
        <v>Apr</v>
      </c>
      <c r="G75" s="22" t="str">
        <f t="shared" si="10"/>
        <v>May</v>
      </c>
      <c r="H75" s="22" t="str">
        <f t="shared" si="10"/>
        <v>Jun</v>
      </c>
      <c r="I75" s="22" t="str">
        <f t="shared" si="10"/>
        <v>Jul</v>
      </c>
      <c r="J75" s="22" t="str">
        <f t="shared" si="10"/>
        <v>Aug</v>
      </c>
      <c r="K75" s="22" t="str">
        <f t="shared" si="10"/>
        <v>Sep</v>
      </c>
      <c r="L75" s="22" t="str">
        <f t="shared" si="10"/>
        <v>Oct</v>
      </c>
      <c r="M75" s="22" t="str">
        <f t="shared" si="10"/>
        <v>Nov</v>
      </c>
      <c r="N75" s="22" t="str">
        <f t="shared" si="10"/>
        <v>Dec</v>
      </c>
    </row>
    <row r="76" spans="2:14" x14ac:dyDescent="0.3">
      <c r="B76" s="23">
        <f t="shared" ref="B76:B89" si="11">B36</f>
        <v>1</v>
      </c>
      <c r="C76" s="6">
        <f>C36*Data_checks!$D44*Parameters!$C$7*IF($B76&lt;Parameters!$C$16,1,(1+Parameters!$C$17)*(1-Parameters!$C$18))</f>
        <v>86467.422355381525</v>
      </c>
      <c r="D76" s="6">
        <f>D36*Data_checks!$D44*Parameters!$C$7*IF($B76&lt;Parameters!$C$16,1,(1+Parameters!$C$17)*(1-Parameters!$C$18))</f>
        <v>68875.477481883732</v>
      </c>
      <c r="E76" s="6">
        <f>E36*Data_checks!$D44*Parameters!$C$7*IF($B76&lt;Parameters!$C$16,1,(1+Parameters!$C$17)*(1-Parameters!$C$18))</f>
        <v>71888.779621716138</v>
      </c>
      <c r="F76" s="6">
        <f>F36*Data_checks!$D44*Parameters!$C$7*IF($B76&lt;Parameters!$C$16,1,(1+Parameters!$C$17)*(1-Parameters!$C$18))</f>
        <v>84745.535418334446</v>
      </c>
      <c r="G76" s="6">
        <f>G36*Data_checks!$D44*Parameters!$C$7*IF($B76&lt;Parameters!$C$16,1,(1+Parameters!$C$17)*(1-Parameters!$C$18))</f>
        <v>74041.138293024997</v>
      </c>
      <c r="H76" s="6">
        <f>H36*Data_checks!$D44*Parameters!$C$7*IF($B76&lt;Parameters!$C$16,1,(1+Parameters!$C$17)*(1-Parameters!$C$18))</f>
        <v>69592.930372320014</v>
      </c>
      <c r="I76" s="6">
        <f>I36*Data_checks!$D44*Parameters!$C$7*IF($B76&lt;Parameters!$C$16,1,(1+Parameters!$C$17)*(1-Parameters!$C$18))</f>
        <v>89968.592460710614</v>
      </c>
      <c r="J76" s="6">
        <f>J36*Data_checks!$D44*Parameters!$C$7*IF($B76&lt;Parameters!$C$16,1,(1+Parameters!$C$17)*(1-Parameters!$C$18))</f>
        <v>80498.214306951602</v>
      </c>
      <c r="K76" s="6">
        <f>K36*Data_checks!$D44*Parameters!$C$7*IF($B76&lt;Parameters!$C$16,1,(1+Parameters!$C$17)*(1-Parameters!$C$18))</f>
        <v>63422.835514567938</v>
      </c>
      <c r="L76" s="6">
        <f>L36*Data_checks!$D44*Parameters!$C$7*IF($B76&lt;Parameters!$C$16,1,(1+Parameters!$C$17)*(1-Parameters!$C$18))</f>
        <v>83597.61079363637</v>
      </c>
      <c r="M76" s="6">
        <f>M36*Data_checks!$D44*Parameters!$C$7*IF($B76&lt;Parameters!$C$16,1,(1+Parameters!$C$17)*(1-Parameters!$C$18))</f>
        <v>74041.138293024997</v>
      </c>
      <c r="N76" s="6">
        <f>N36*Data_checks!$D44*Parameters!$C$7*IF($B76&lt;Parameters!$C$16,1,(1+Parameters!$C$17)*(1-Parameters!$C$18))</f>
        <v>59835.571062386487</v>
      </c>
    </row>
    <row r="77" spans="2:14" x14ac:dyDescent="0.3">
      <c r="B77" s="23">
        <f t="shared" si="11"/>
        <v>2</v>
      </c>
      <c r="C77" s="6">
        <f>C37*Data_checks!$D45*Parameters!$C$7*IF($B77&lt;Parameters!$C$16,1,(1+Parameters!$C$17)*(1-Parameters!$C$18))</f>
        <v>327719.09347520693</v>
      </c>
      <c r="D77" s="6">
        <f>D37*Data_checks!$D45*Parameters!$C$7*IF($B77&lt;Parameters!$C$16,1,(1+Parameters!$C$17)*(1-Parameters!$C$18))</f>
        <v>261044.08375057968</v>
      </c>
      <c r="E77" s="6">
        <f>E37*Data_checks!$D45*Parameters!$C$7*IF($B77&lt;Parameters!$C$16,1,(1+Parameters!$C$17)*(1-Parameters!$C$18))</f>
        <v>272464.76241466752</v>
      </c>
      <c r="F77" s="6">
        <f>F37*Data_checks!$D45*Parameters!$C$7*IF($B77&lt;Parameters!$C$16,1,(1+Parameters!$C$17)*(1-Parameters!$C$18))</f>
        <v>321192.99138144241</v>
      </c>
      <c r="G77" s="6">
        <f>G37*Data_checks!$D45*Parameters!$C$7*IF($B77&lt;Parameters!$C$16,1,(1+Parameters!$C$17)*(1-Parameters!$C$18))</f>
        <v>280622.39003187319</v>
      </c>
      <c r="H77" s="6">
        <f>H37*Data_checks!$D45*Parameters!$C$7*IF($B77&lt;Parameters!$C$16,1,(1+Parameters!$C$17)*(1-Parameters!$C$18))</f>
        <v>263763.29295631486</v>
      </c>
      <c r="I77" s="6">
        <f>I37*Data_checks!$D45*Parameters!$C$7*IF($B77&lt;Parameters!$C$16,1,(1+Parameters!$C$17)*(1-Parameters!$C$18))</f>
        <v>340988.83439919475</v>
      </c>
      <c r="J77" s="6">
        <f>J37*Data_checks!$D45*Parameters!$C$7*IF($B77&lt;Parameters!$C$16,1,(1+Parameters!$C$17)*(1-Parameters!$C$18))</f>
        <v>305095.27288349002</v>
      </c>
      <c r="K77" s="6">
        <f>K37*Data_checks!$D45*Parameters!$C$7*IF($B77&lt;Parameters!$C$16,1,(1+Parameters!$C$17)*(1-Parameters!$C$18))</f>
        <v>240378.09378699216</v>
      </c>
      <c r="L77" s="6">
        <f>L37*Data_checks!$D45*Parameters!$C$7*IF($B77&lt;Parameters!$C$16,1,(1+Parameters!$C$17)*(1-Parameters!$C$18))</f>
        <v>316842.25665226614</v>
      </c>
      <c r="M77" s="6">
        <f>M37*Data_checks!$D45*Parameters!$C$7*IF($B77&lt;Parameters!$C$16,1,(1+Parameters!$C$17)*(1-Parameters!$C$18))</f>
        <v>280622.39003187319</v>
      </c>
      <c r="N77" s="6">
        <f>N37*Data_checks!$D45*Parameters!$C$7*IF($B77&lt;Parameters!$C$16,1,(1+Parameters!$C$17)*(1-Parameters!$C$18))</f>
        <v>226782.0477583161</v>
      </c>
    </row>
    <row r="78" spans="2:14" x14ac:dyDescent="0.3">
      <c r="B78" s="23">
        <f t="shared" si="11"/>
        <v>3</v>
      </c>
      <c r="C78" s="6">
        <f>C38*Data_checks!$D46*Parameters!$C$7*IF($B78&lt;Parameters!$C$16,1,(1+Parameters!$C$17)*(1-Parameters!$C$18))</f>
        <v>340323.67399348418</v>
      </c>
      <c r="D78" s="6">
        <f>D38*Data_checks!$D46*Parameters!$C$7*IF($B78&lt;Parameters!$C$16,1,(1+Parameters!$C$17)*(1-Parameters!$C$18))</f>
        <v>271084.24081790971</v>
      </c>
      <c r="E78" s="6">
        <f>E38*Data_checks!$D46*Parameters!$C$7*IF($B78&lt;Parameters!$C$16,1,(1+Parameters!$C$17)*(1-Parameters!$C$18))</f>
        <v>282944.17635369324</v>
      </c>
      <c r="F78" s="6">
        <f>F38*Data_checks!$D46*Parameters!$C$7*IF($B78&lt;Parameters!$C$16,1,(1+Parameters!$C$17)*(1-Parameters!$C$18))</f>
        <v>333546.56797303638</v>
      </c>
      <c r="G78" s="6">
        <f>G38*Data_checks!$D46*Parameters!$C$7*IF($B78&lt;Parameters!$C$16,1,(1+Parameters!$C$17)*(1-Parameters!$C$18))</f>
        <v>291415.55887925299</v>
      </c>
      <c r="H78" s="6">
        <f>H38*Data_checks!$D46*Parameters!$C$7*IF($B78&lt;Parameters!$C$16,1,(1+Parameters!$C$17)*(1-Parameters!$C$18))</f>
        <v>273908.03499309625</v>
      </c>
      <c r="I78" s="6">
        <f>I38*Data_checks!$D46*Parameters!$C$7*IF($B78&lt;Parameters!$C$16,1,(1+Parameters!$C$17)*(1-Parameters!$C$18))</f>
        <v>354103.78956839454</v>
      </c>
      <c r="J78" s="6">
        <f>J38*Data_checks!$D46*Parameters!$C$7*IF($B78&lt;Parameters!$C$16,1,(1+Parameters!$C$17)*(1-Parameters!$C$18))</f>
        <v>316829.706455932</v>
      </c>
      <c r="K78" s="6">
        <f>K38*Data_checks!$D46*Parameters!$C$7*IF($B78&lt;Parameters!$C$16,1,(1+Parameters!$C$17)*(1-Parameters!$C$18))</f>
        <v>249623.4050864919</v>
      </c>
      <c r="L78" s="6">
        <f>L38*Data_checks!$D46*Parameters!$C$7*IF($B78&lt;Parameters!$C$16,1,(1+Parameters!$C$17)*(1-Parameters!$C$18))</f>
        <v>329028.49729273794</v>
      </c>
      <c r="M78" s="6">
        <f>M38*Data_checks!$D46*Parameters!$C$7*IF($B78&lt;Parameters!$C$16,1,(1+Parameters!$C$17)*(1-Parameters!$C$18))</f>
        <v>291415.55887925299</v>
      </c>
      <c r="N78" s="6">
        <f>N38*Data_checks!$D46*Parameters!$C$7*IF($B78&lt;Parameters!$C$16,1,(1+Parameters!$C$17)*(1-Parameters!$C$18))</f>
        <v>235504.43421055906</v>
      </c>
    </row>
    <row r="79" spans="2:14" x14ac:dyDescent="0.3">
      <c r="B79" s="23">
        <f t="shared" si="11"/>
        <v>4</v>
      </c>
      <c r="C79" s="6">
        <f>C39*Data_checks!$D47*Parameters!$C$7*IF($B79&lt;Parameters!$C$16,1,(1+Parameters!$C$17)*(1-Parameters!$C$18))</f>
        <v>441710.91001139092</v>
      </c>
      <c r="D79" s="6">
        <f>D39*Data_checks!$D47*Parameters!$C$7*IF($B79&lt;Parameters!$C$16,1,(1+Parameters!$C$17)*(1-Parameters!$C$18))</f>
        <v>351844.07037083909</v>
      </c>
      <c r="E79" s="6">
        <f>E39*Data_checks!$D47*Parameters!$C$7*IF($B79&lt;Parameters!$C$16,1,(1+Parameters!$C$17)*(1-Parameters!$C$18))</f>
        <v>367237.24844956328</v>
      </c>
      <c r="F79" s="6">
        <f>F39*Data_checks!$D47*Parameters!$C$7*IF($B79&lt;Parameters!$C$16,1,(1+Parameters!$C$17)*(1-Parameters!$C$18))</f>
        <v>432914.80825212004</v>
      </c>
      <c r="G79" s="6">
        <f>G39*Data_checks!$D47*Parameters!$C$7*IF($B79&lt;Parameters!$C$16,1,(1+Parameters!$C$17)*(1-Parameters!$C$18))</f>
        <v>378232.37564865209</v>
      </c>
      <c r="H79" s="6">
        <f>H39*Data_checks!$D47*Parameters!$C$7*IF($B79&lt;Parameters!$C$16,1,(1+Parameters!$C$17)*(1-Parameters!$C$18))</f>
        <v>355509.11277053534</v>
      </c>
      <c r="I79" s="6">
        <f>I39*Data_checks!$D47*Parameters!$C$7*IF($B79&lt;Parameters!$C$16,1,(1+Parameters!$C$17)*(1-Parameters!$C$18))</f>
        <v>459596.31692190864</v>
      </c>
      <c r="J79" s="6">
        <f>J39*Data_checks!$D47*Parameters!$C$7*IF($B79&lt;Parameters!$C$16,1,(1+Parameters!$C$17)*(1-Parameters!$C$18))</f>
        <v>411217.75724591827</v>
      </c>
      <c r="K79" s="6">
        <f>K39*Data_checks!$D47*Parameters!$C$7*IF($B79&lt;Parameters!$C$16,1,(1+Parameters!$C$17)*(1-Parameters!$C$18))</f>
        <v>323989.74813314772</v>
      </c>
      <c r="L79" s="6">
        <f>L39*Data_checks!$D47*Parameters!$C$7*IF($B79&lt;Parameters!$C$16,1,(1+Parameters!$C$17)*(1-Parameters!$C$18))</f>
        <v>427050.74041260604</v>
      </c>
      <c r="M79" s="6">
        <f>M39*Data_checks!$D47*Parameters!$C$7*IF($B79&lt;Parameters!$C$16,1,(1+Parameters!$C$17)*(1-Parameters!$C$18))</f>
        <v>378232.37564865209</v>
      </c>
      <c r="N79" s="6">
        <f>N39*Data_checks!$D47*Parameters!$C$7*IF($B79&lt;Parameters!$C$16,1,(1+Parameters!$C$17)*(1-Parameters!$C$18))</f>
        <v>305664.53613466653</v>
      </c>
    </row>
    <row r="80" spans="2:14" x14ac:dyDescent="0.3">
      <c r="B80" s="23">
        <f t="shared" si="11"/>
        <v>5</v>
      </c>
      <c r="C80" s="6">
        <f>C40*Data_checks!$D48*Parameters!$C$7*IF($B80&lt;Parameters!$C$16,1,(1+Parameters!$C$17)*(1-Parameters!$C$18))</f>
        <v>297305.42019997467</v>
      </c>
      <c r="D80" s="6">
        <f>D40*Data_checks!$D48*Parameters!$C$7*IF($B80&lt;Parameters!$C$16,1,(1+Parameters!$C$17)*(1-Parameters!$C$18))</f>
        <v>236818.12428806478</v>
      </c>
      <c r="E80" s="6">
        <f>E40*Data_checks!$D48*Parameters!$C$7*IF($B80&lt;Parameters!$C$16,1,(1+Parameters!$C$17)*(1-Parameters!$C$18))</f>
        <v>247178.91722566762</v>
      </c>
      <c r="F80" s="6">
        <f>F40*Data_checks!$D48*Parameters!$C$7*IF($B80&lt;Parameters!$C$16,1,(1+Parameters!$C$17)*(1-Parameters!$C$18))</f>
        <v>291384.96709277306</v>
      </c>
      <c r="G80" s="6">
        <f>G40*Data_checks!$D48*Parameters!$C$7*IF($B80&lt;Parameters!$C$16,1,(1+Parameters!$C$17)*(1-Parameters!$C$18))</f>
        <v>254579.48360966967</v>
      </c>
      <c r="H80" s="6">
        <f>H40*Data_checks!$D48*Parameters!$C$7*IF($B80&lt;Parameters!$C$16,1,(1+Parameters!$C$17)*(1-Parameters!$C$18))</f>
        <v>239284.97974939877</v>
      </c>
      <c r="I80" s="6">
        <f>I40*Data_checks!$D48*Parameters!$C$7*IF($B80&lt;Parameters!$C$16,1,(1+Parameters!$C$17)*(1-Parameters!$C$18))</f>
        <v>309343.67485128465</v>
      </c>
      <c r="J80" s="6">
        <f>J40*Data_checks!$D48*Parameters!$C$7*IF($B80&lt;Parameters!$C$16,1,(1+Parameters!$C$17)*(1-Parameters!$C$18))</f>
        <v>276781.18276167574</v>
      </c>
      <c r="K80" s="6">
        <f>K40*Data_checks!$D48*Parameters!$C$7*IF($B80&lt;Parameters!$C$16,1,(1+Parameters!$C$17)*(1-Parameters!$C$18))</f>
        <v>218070.02278192632</v>
      </c>
      <c r="L80" s="6">
        <f>L40*Data_checks!$D48*Parameters!$C$7*IF($B80&lt;Parameters!$C$16,1,(1+Parameters!$C$17)*(1-Parameters!$C$18))</f>
        <v>287437.99835463864</v>
      </c>
      <c r="M80" s="6">
        <f>M40*Data_checks!$D48*Parameters!$C$7*IF($B80&lt;Parameters!$C$16,1,(1+Parameters!$C$17)*(1-Parameters!$C$18))</f>
        <v>254579.48360966967</v>
      </c>
      <c r="N80" s="6">
        <f>N40*Data_checks!$D48*Parameters!$C$7*IF($B80&lt;Parameters!$C$16,1,(1+Parameters!$C$17)*(1-Parameters!$C$18))</f>
        <v>205735.74547525629</v>
      </c>
    </row>
    <row r="81" spans="2:14" x14ac:dyDescent="0.3">
      <c r="B81" s="23">
        <f t="shared" si="11"/>
        <v>6</v>
      </c>
      <c r="C81" s="6">
        <f>C41*Data_checks!$D49*Parameters!$C$7*IF($B81&lt;Parameters!$C$16,1,(1+Parameters!$C$17)*(1-Parameters!$C$18))</f>
        <v>285413.20339197566</v>
      </c>
      <c r="D81" s="6">
        <f>D41*Data_checks!$D49*Parameters!$C$7*IF($B81&lt;Parameters!$C$16,1,(1+Parameters!$C$17)*(1-Parameters!$C$18))</f>
        <v>227345.39931654217</v>
      </c>
      <c r="E81" s="6">
        <f>E41*Data_checks!$D49*Parameters!$C$7*IF($B81&lt;Parameters!$C$16,1,(1+Parameters!$C$17)*(1-Parameters!$C$18))</f>
        <v>237291.76053664091</v>
      </c>
      <c r="F81" s="6">
        <f>F41*Data_checks!$D49*Parameters!$C$7*IF($B81&lt;Parameters!$C$16,1,(1+Parameters!$C$17)*(1-Parameters!$C$18))</f>
        <v>279729.56840906211</v>
      </c>
      <c r="G81" s="6">
        <f>G41*Data_checks!$D49*Parameters!$C$7*IF($B81&lt;Parameters!$C$16,1,(1+Parameters!$C$17)*(1-Parameters!$C$18))</f>
        <v>244396.30426528284</v>
      </c>
      <c r="H81" s="6">
        <f>H41*Data_checks!$D49*Parameters!$C$7*IF($B81&lt;Parameters!$C$16,1,(1+Parameters!$C$17)*(1-Parameters!$C$18))</f>
        <v>229713.58055942284</v>
      </c>
      <c r="I81" s="6">
        <f>I41*Data_checks!$D49*Parameters!$C$7*IF($B81&lt;Parameters!$C$16,1,(1+Parameters!$C$17)*(1-Parameters!$C$18))</f>
        <v>296969.92785723321</v>
      </c>
      <c r="J81" s="6">
        <f>J41*Data_checks!$D49*Parameters!$C$7*IF($B81&lt;Parameters!$C$16,1,(1+Parameters!$C$17)*(1-Parameters!$C$18))</f>
        <v>265709.93545120873</v>
      </c>
      <c r="K81" s="6">
        <f>K41*Data_checks!$D49*Parameters!$C$7*IF($B81&lt;Parameters!$C$16,1,(1+Parameters!$C$17)*(1-Parameters!$C$18))</f>
        <v>209347.22187064926</v>
      </c>
      <c r="L81" s="6">
        <f>L41*Data_checks!$D49*Parameters!$C$7*IF($B81&lt;Parameters!$C$16,1,(1+Parameters!$C$17)*(1-Parameters!$C$18))</f>
        <v>275940.47842045309</v>
      </c>
      <c r="M81" s="6">
        <f>M41*Data_checks!$D49*Parameters!$C$7*IF($B81&lt;Parameters!$C$16,1,(1+Parameters!$C$17)*(1-Parameters!$C$18))</f>
        <v>244396.30426528284</v>
      </c>
      <c r="N81" s="6">
        <f>N41*Data_checks!$D49*Parameters!$C$7*IF($B81&lt;Parameters!$C$16,1,(1+Parameters!$C$17)*(1-Parameters!$C$18))</f>
        <v>197506.31565624604</v>
      </c>
    </row>
    <row r="82" spans="2:14" x14ac:dyDescent="0.3">
      <c r="B82" s="23">
        <f t="shared" si="11"/>
        <v>7</v>
      </c>
      <c r="C82" s="6">
        <f>C42*Data_checks!$D50*Parameters!$C$7*IF($B82&lt;Parameters!$C$16,1,(1+Parameters!$C$17)*(1-Parameters!$C$18))</f>
        <v>158562.89077331981</v>
      </c>
      <c r="D82" s="6">
        <f>D42*Data_checks!$D50*Parameters!$C$7*IF($B82&lt;Parameters!$C$16,1,(1+Parameters!$C$17)*(1-Parameters!$C$18))</f>
        <v>126302.99962030123</v>
      </c>
      <c r="E82" s="6">
        <f>E42*Data_checks!$D50*Parameters!$C$7*IF($B82&lt;Parameters!$C$16,1,(1+Parameters!$C$17)*(1-Parameters!$C$18))</f>
        <v>131828.75585368942</v>
      </c>
      <c r="F82" s="6">
        <f>F42*Data_checks!$D50*Parameters!$C$7*IF($B82&lt;Parameters!$C$16,1,(1+Parameters!$C$17)*(1-Parameters!$C$18))</f>
        <v>155405.31578281231</v>
      </c>
      <c r="G82" s="6">
        <f>G42*Data_checks!$D50*Parameters!$C$7*IF($B82&lt;Parameters!$C$16,1,(1+Parameters!$C$17)*(1-Parameters!$C$18))</f>
        <v>135775.72459182382</v>
      </c>
      <c r="H82" s="6">
        <f>H42*Data_checks!$D50*Parameters!$C$7*IF($B82&lt;Parameters!$C$16,1,(1+Parameters!$C$17)*(1-Parameters!$C$18))</f>
        <v>127618.65586634605</v>
      </c>
      <c r="I82" s="6">
        <f>I42*Data_checks!$D50*Parameters!$C$7*IF($B82&lt;Parameters!$C$16,1,(1+Parameters!$C$17)*(1-Parameters!$C$18))</f>
        <v>164983.29325401847</v>
      </c>
      <c r="J82" s="6">
        <f>J42*Data_checks!$D50*Parameters!$C$7*IF($B82&lt;Parameters!$C$16,1,(1+Parameters!$C$17)*(1-Parameters!$C$18))</f>
        <v>147616.63080622704</v>
      </c>
      <c r="K82" s="6">
        <f>K42*Data_checks!$D50*Parameters!$C$7*IF($B82&lt;Parameters!$C$16,1,(1+Parameters!$C$17)*(1-Parameters!$C$18))</f>
        <v>116304.01215036072</v>
      </c>
      <c r="L82" s="6">
        <f>L42*Data_checks!$D50*Parameters!$C$7*IF($B82&lt;Parameters!$C$16,1,(1+Parameters!$C$17)*(1-Parameters!$C$18))</f>
        <v>153300.26578914063</v>
      </c>
      <c r="M82" s="6">
        <f>M42*Data_checks!$D50*Parameters!$C$7*IF($B82&lt;Parameters!$C$16,1,(1+Parameters!$C$17)*(1-Parameters!$C$18))</f>
        <v>135775.72459182382</v>
      </c>
      <c r="N82" s="6">
        <f>N42*Data_checks!$D50*Parameters!$C$7*IF($B82&lt;Parameters!$C$16,1,(1+Parameters!$C$17)*(1-Parameters!$C$18))</f>
        <v>109725.7309201367</v>
      </c>
    </row>
    <row r="83" spans="2:14" x14ac:dyDescent="0.3">
      <c r="B83" s="23">
        <f t="shared" si="11"/>
        <v>8</v>
      </c>
      <c r="C83" s="6">
        <f>C43*Data_checks!$D51*Parameters!$C$7*IF($B83&lt;Parameters!$C$16,1,(1+Parameters!$C$17)*(1-Parameters!$C$18))</f>
        <v>45303.683078091381</v>
      </c>
      <c r="D83" s="6">
        <f>D43*Data_checks!$D51*Parameters!$C$7*IF($B83&lt;Parameters!$C$16,1,(1+Parameters!$C$17)*(1-Parameters!$C$18))</f>
        <v>36086.571320086063</v>
      </c>
      <c r="E83" s="6">
        <f>E43*Data_checks!$D51*Parameters!$C$7*IF($B83&lt;Parameters!$C$16,1,(1+Parameters!$C$17)*(1-Parameters!$C$18))</f>
        <v>37665.358815339838</v>
      </c>
      <c r="F83" s="6">
        <f>F43*Data_checks!$D51*Parameters!$C$7*IF($B83&lt;Parameters!$C$16,1,(1+Parameters!$C$17)*(1-Parameters!$C$18))</f>
        <v>44401.518795089229</v>
      </c>
      <c r="G83" s="6">
        <f>G43*Data_checks!$D51*Parameters!$C$7*IF($B83&lt;Parameters!$C$16,1,(1+Parameters!$C$17)*(1-Parameters!$C$18))</f>
        <v>38793.064169092519</v>
      </c>
      <c r="H83" s="6">
        <f>H43*Data_checks!$D51*Parameters!$C$7*IF($B83&lt;Parameters!$C$16,1,(1+Parameters!$C$17)*(1-Parameters!$C$18))</f>
        <v>36462.473104670295</v>
      </c>
      <c r="I83" s="6">
        <f>I43*Data_checks!$D51*Parameters!$C$7*IF($B83&lt;Parameters!$C$16,1,(1+Parameters!$C$17)*(1-Parameters!$C$18))</f>
        <v>47138.083786862429</v>
      </c>
      <c r="J83" s="6">
        <f>J43*Data_checks!$D51*Parameters!$C$7*IF($B83&lt;Parameters!$C$16,1,(1+Parameters!$C$17)*(1-Parameters!$C$18))</f>
        <v>42176.18023035059</v>
      </c>
      <c r="K83" s="6">
        <f>K43*Data_checks!$D51*Parameters!$C$7*IF($B83&lt;Parameters!$C$16,1,(1+Parameters!$C$17)*(1-Parameters!$C$18))</f>
        <v>33229.717757245919</v>
      </c>
      <c r="L83" s="6">
        <f>L43*Data_checks!$D51*Parameters!$C$7*IF($B83&lt;Parameters!$C$16,1,(1+Parameters!$C$17)*(1-Parameters!$C$18))</f>
        <v>43800.075939754468</v>
      </c>
      <c r="M83" s="6">
        <f>M43*Data_checks!$D51*Parameters!$C$7*IF($B83&lt;Parameters!$C$16,1,(1+Parameters!$C$17)*(1-Parameters!$C$18))</f>
        <v>38793.064169092519</v>
      </c>
      <c r="N83" s="6">
        <f>N43*Data_checks!$D51*Parameters!$C$7*IF($B83&lt;Parameters!$C$16,1,(1+Parameters!$C$17)*(1-Parameters!$C$18))</f>
        <v>31350.208834324771</v>
      </c>
    </row>
    <row r="84" spans="2:14" x14ac:dyDescent="0.3">
      <c r="B84" s="23">
        <f t="shared" si="11"/>
        <v>9</v>
      </c>
      <c r="C84" s="6">
        <f>C44*Data_checks!$D52*Parameters!$C$7*IF($B84&lt;Parameters!$C$16,1,(1+Parameters!$C$17)*(1-Parameters!$C$18))</f>
        <v>44171.091001139095</v>
      </c>
      <c r="D84" s="6">
        <f>D44*Data_checks!$D52*Parameters!$C$7*IF($B84&lt;Parameters!$C$16,1,(1+Parameters!$C$17)*(1-Parameters!$C$18))</f>
        <v>35184.407037083911</v>
      </c>
      <c r="E84" s="6">
        <f>E44*Data_checks!$D52*Parameters!$C$7*IF($B84&lt;Parameters!$C$16,1,(1+Parameters!$C$17)*(1-Parameters!$C$18))</f>
        <v>36723.724844956334</v>
      </c>
      <c r="F84" s="6">
        <f>F44*Data_checks!$D52*Parameters!$C$7*IF($B84&lt;Parameters!$C$16,1,(1+Parameters!$C$17)*(1-Parameters!$C$18))</f>
        <v>43291.480825211998</v>
      </c>
      <c r="G84" s="6">
        <f>G44*Data_checks!$D52*Parameters!$C$7*IF($B84&lt;Parameters!$C$16,1,(1+Parameters!$C$17)*(1-Parameters!$C$18))</f>
        <v>37823.237564865209</v>
      </c>
      <c r="H84" s="6">
        <f>H44*Data_checks!$D52*Parameters!$C$7*IF($B84&lt;Parameters!$C$16,1,(1+Parameters!$C$17)*(1-Parameters!$C$18))</f>
        <v>35550.911277053536</v>
      </c>
      <c r="I84" s="6">
        <f>I44*Data_checks!$D52*Parameters!$C$7*IF($B84&lt;Parameters!$C$16,1,(1+Parameters!$C$17)*(1-Parameters!$C$18))</f>
        <v>45959.631692190858</v>
      </c>
      <c r="J84" s="6">
        <f>J44*Data_checks!$D52*Parameters!$C$7*IF($B84&lt;Parameters!$C$16,1,(1+Parameters!$C$17)*(1-Parameters!$C$18))</f>
        <v>41121.775724591818</v>
      </c>
      <c r="K84" s="6">
        <f>K44*Data_checks!$D52*Parameters!$C$7*IF($B84&lt;Parameters!$C$16,1,(1+Parameters!$C$17)*(1-Parameters!$C$18))</f>
        <v>32398.97481331477</v>
      </c>
      <c r="L84" s="6">
        <f>L44*Data_checks!$D52*Parameters!$C$7*IF($B84&lt;Parameters!$C$16,1,(1+Parameters!$C$17)*(1-Parameters!$C$18))</f>
        <v>42705.074041260596</v>
      </c>
      <c r="M84" s="6">
        <f>M44*Data_checks!$D52*Parameters!$C$7*IF($B84&lt;Parameters!$C$16,1,(1+Parameters!$C$17)*(1-Parameters!$C$18))</f>
        <v>37823.237564865209</v>
      </c>
      <c r="N84" s="6">
        <f>N44*Data_checks!$D52*Parameters!$C$7*IF($B84&lt;Parameters!$C$16,1,(1+Parameters!$C$17)*(1-Parameters!$C$18))</f>
        <v>30566.453613466649</v>
      </c>
    </row>
    <row r="85" spans="2:14" x14ac:dyDescent="0.3">
      <c r="B85" s="23">
        <f t="shared" si="11"/>
        <v>10</v>
      </c>
      <c r="C85" s="6">
        <f>C45*Data_checks!$D53*Parameters!$C$7*IF($B85&lt;Parameters!$C$16,1,(1+Parameters!$C$17)*(1-Parameters!$C$18))</f>
        <v>12911.549677256042</v>
      </c>
      <c r="D85" s="6">
        <f>D45*Data_checks!$D53*Parameters!$C$7*IF($B85&lt;Parameters!$C$16,1,(1+Parameters!$C$17)*(1-Parameters!$C$18))</f>
        <v>10284.672826224527</v>
      </c>
      <c r="E85" s="6">
        <f>E45*Data_checks!$D53*Parameters!$C$7*IF($B85&lt;Parameters!$C$16,1,(1+Parameters!$C$17)*(1-Parameters!$C$18))</f>
        <v>10734.627262371852</v>
      </c>
      <c r="F85" s="6">
        <f>F45*Data_checks!$D53*Parameters!$C$7*IF($B85&lt;Parameters!$C$16,1,(1+Parameters!$C$17)*(1-Parameters!$C$18))</f>
        <v>12654.43285660043</v>
      </c>
      <c r="G85" s="6">
        <f>G45*Data_checks!$D53*Parameters!$C$7*IF($B85&lt;Parameters!$C$16,1,(1+Parameters!$C$17)*(1-Parameters!$C$18))</f>
        <v>11056.023288191367</v>
      </c>
      <c r="H85" s="6">
        <f>H45*Data_checks!$D53*Parameters!$C$7*IF($B85&lt;Parameters!$C$16,1,(1+Parameters!$C$17)*(1-Parameters!$C$18))</f>
        <v>10391.804834831033</v>
      </c>
      <c r="I85" s="6">
        <f>I45*Data_checks!$D53*Parameters!$C$7*IF($B85&lt;Parameters!$C$16,1,(1+Parameters!$C$17)*(1-Parameters!$C$18))</f>
        <v>13434.353879255792</v>
      </c>
      <c r="J85" s="6">
        <f>J45*Data_checks!$D53*Parameters!$C$7*IF($B85&lt;Parameters!$C$16,1,(1+Parameters!$C$17)*(1-Parameters!$C$18))</f>
        <v>12020.211365649919</v>
      </c>
      <c r="K85" s="6">
        <f>K45*Data_checks!$D53*Parameters!$C$7*IF($B85&lt;Parameters!$C$16,1,(1+Parameters!$C$17)*(1-Parameters!$C$18))</f>
        <v>9470.4695608150869</v>
      </c>
      <c r="L85" s="6">
        <f>L45*Data_checks!$D53*Parameters!$C$7*IF($B85&lt;Parameters!$C$16,1,(1+Parameters!$C$17)*(1-Parameters!$C$18))</f>
        <v>12483.021642830023</v>
      </c>
      <c r="M85" s="6">
        <f>M45*Data_checks!$D53*Parameters!$C$7*IF($B85&lt;Parameters!$C$16,1,(1+Parameters!$C$17)*(1-Parameters!$C$18))</f>
        <v>11056.023288191367</v>
      </c>
      <c r="N85" s="6">
        <f>N45*Data_checks!$D53*Parameters!$C$7*IF($B85&lt;Parameters!$C$16,1,(1+Parameters!$C$17)*(1-Parameters!$C$18))</f>
        <v>8934.809517782558</v>
      </c>
    </row>
    <row r="86" spans="2:14" x14ac:dyDescent="0.3">
      <c r="B86" s="23">
        <f t="shared" si="11"/>
        <v>11</v>
      </c>
      <c r="C86" s="6">
        <f>C46*Data_checks!$D54*Parameters!$C$7*IF($B86&lt;Parameters!$C$16,1,(1+Parameters!$C$17)*(1-Parameters!$C$18))</f>
        <v>16943.577471206183</v>
      </c>
      <c r="D86" s="6">
        <f>D46*Data_checks!$D54*Parameters!$C$7*IF($B86&lt;Parameters!$C$16,1,(1+Parameters!$C$17)*(1-Parameters!$C$18))</f>
        <v>13496.37767371219</v>
      </c>
      <c r="E86" s="6">
        <f>E46*Data_checks!$D54*Parameters!$C$7*IF($B86&lt;Parameters!$C$16,1,(1+Parameters!$C$17)*(1-Parameters!$C$18))</f>
        <v>14086.844196937098</v>
      </c>
      <c r="F86" s="6">
        <f>F46*Data_checks!$D54*Parameters!$C$7*IF($B86&lt;Parameters!$C$16,1,(1+Parameters!$C$17)*(1-Parameters!$C$18))</f>
        <v>16606.168029363373</v>
      </c>
      <c r="G86" s="6">
        <f>G46*Data_checks!$D54*Parameters!$C$7*IF($B86&lt;Parameters!$C$16,1,(1+Parameters!$C$17)*(1-Parameters!$C$18))</f>
        <v>14508.605999240604</v>
      </c>
      <c r="H86" s="6">
        <f>H46*Data_checks!$D54*Parameters!$C$7*IF($B86&lt;Parameters!$C$16,1,(1+Parameters!$C$17)*(1-Parameters!$C$18))</f>
        <v>13636.964941146693</v>
      </c>
      <c r="I86" s="6">
        <f>I46*Data_checks!$D54*Parameters!$C$7*IF($B86&lt;Parameters!$C$16,1,(1+Parameters!$C$17)*(1-Parameters!$C$18))</f>
        <v>17629.643336286546</v>
      </c>
      <c r="J86" s="6">
        <f>J46*Data_checks!$D54*Parameters!$C$7*IF($B86&lt;Parameters!$C$16,1,(1+Parameters!$C$17)*(1-Parameters!$C$18))</f>
        <v>15773.891406151124</v>
      </c>
      <c r="K86" s="6">
        <f>K46*Data_checks!$D54*Parameters!$C$7*IF($B86&lt;Parameters!$C$16,1,(1+Parameters!$C$17)*(1-Parameters!$C$18))</f>
        <v>12427.914441209974</v>
      </c>
      <c r="L86" s="6">
        <f>L46*Data_checks!$D54*Parameters!$C$7*IF($B86&lt;Parameters!$C$16,1,(1+Parameters!$C$17)*(1-Parameters!$C$18))</f>
        <v>16381.228401468172</v>
      </c>
      <c r="M86" s="6">
        <f>M46*Data_checks!$D54*Parameters!$C$7*IF($B86&lt;Parameters!$C$16,1,(1+Parameters!$C$17)*(1-Parameters!$C$18))</f>
        <v>14508.605999240604</v>
      </c>
      <c r="N86" s="6">
        <f>N46*Data_checks!$D54*Parameters!$C$7*IF($B86&lt;Parameters!$C$16,1,(1+Parameters!$C$17)*(1-Parameters!$C$18))</f>
        <v>11724.978104037466</v>
      </c>
    </row>
    <row r="87" spans="2:14" x14ac:dyDescent="0.3">
      <c r="B87" s="23">
        <f t="shared" si="11"/>
        <v>12</v>
      </c>
      <c r="C87" s="6">
        <f>C47*Data_checks!$D55*Parameters!$C$7*IF($B87&lt;Parameters!$C$16,1,(1+Parameters!$C$17)*(1-Parameters!$C$18))</f>
        <v>13364.586508036957</v>
      </c>
      <c r="D87" s="6">
        <f>D47*Data_checks!$D55*Parameters!$C$7*IF($B87&lt;Parameters!$C$16,1,(1+Parameters!$C$17)*(1-Parameters!$C$18))</f>
        <v>10645.53853942539</v>
      </c>
      <c r="E87" s="6">
        <f>E47*Data_checks!$D55*Parameters!$C$7*IF($B87&lt;Parameters!$C$16,1,(1+Parameters!$C$17)*(1-Parameters!$C$18))</f>
        <v>11111.280850525251</v>
      </c>
      <c r="F87" s="6">
        <f>F47*Data_checks!$D55*Parameters!$C$7*IF($B87&lt;Parameters!$C$16,1,(1+Parameters!$C$17)*(1-Parameters!$C$18))</f>
        <v>13098.448044551322</v>
      </c>
      <c r="G87" s="6">
        <f>G47*Data_checks!$D55*Parameters!$C$7*IF($B87&lt;Parameters!$C$16,1,(1+Parameters!$C$17)*(1-Parameters!$C$18))</f>
        <v>11443.953929882293</v>
      </c>
      <c r="H87" s="6">
        <f>H47*Data_checks!$D55*Parameters!$C$7*IF($B87&lt;Parameters!$C$16,1,(1+Parameters!$C$17)*(1-Parameters!$C$18))</f>
        <v>10756.429565877736</v>
      </c>
      <c r="I87" s="6">
        <f>I47*Data_checks!$D55*Parameters!$C$7*IF($B87&lt;Parameters!$C$16,1,(1+Parameters!$C$17)*(1-Parameters!$C$18))</f>
        <v>13905.734717124415</v>
      </c>
      <c r="J87" s="6">
        <f>J47*Data_checks!$D55*Parameters!$C$7*IF($B87&lt;Parameters!$C$16,1,(1+Parameters!$C$17)*(1-Parameters!$C$18))</f>
        <v>12441.973167953425</v>
      </c>
      <c r="K87" s="6">
        <f>K47*Data_checks!$D55*Parameters!$C$7*IF($B87&lt;Parameters!$C$16,1,(1+Parameters!$C$17)*(1-Parameters!$C$18))</f>
        <v>9802.7667383875469</v>
      </c>
      <c r="L87" s="6">
        <f>L47*Data_checks!$D55*Parameters!$C$7*IF($B87&lt;Parameters!$C$16,1,(1+Parameters!$C$17)*(1-Parameters!$C$18))</f>
        <v>12921.022402227567</v>
      </c>
      <c r="M87" s="6">
        <f>M47*Data_checks!$D55*Parameters!$C$7*IF($B87&lt;Parameters!$C$16,1,(1+Parameters!$C$17)*(1-Parameters!$C$18))</f>
        <v>11443.953929882293</v>
      </c>
      <c r="N87" s="6">
        <f>N47*Data_checks!$D55*Parameters!$C$7*IF($B87&lt;Parameters!$C$16,1,(1+Parameters!$C$17)*(1-Parameters!$C$18))</f>
        <v>9248.3116061258061</v>
      </c>
    </row>
    <row r="88" spans="2:14" x14ac:dyDescent="0.3">
      <c r="B88" s="23">
        <f t="shared" si="11"/>
        <v>13</v>
      </c>
      <c r="C88" s="6">
        <f>C48*Data_checks!$D56*Parameters!$C$7*IF($B88&lt;Parameters!$C$16,1,(1+Parameters!$C$17)*(1-Parameters!$C$18))</f>
        <v>10306.587900265789</v>
      </c>
      <c r="D88" s="6">
        <f>D48*Data_checks!$D56*Parameters!$C$7*IF($B88&lt;Parameters!$C$16,1,(1+Parameters!$C$17)*(1-Parameters!$C$18))</f>
        <v>8209.6949753195786</v>
      </c>
      <c r="E88" s="6">
        <f>E48*Data_checks!$D56*Parameters!$C$7*IF($B88&lt;Parameters!$C$16,1,(1+Parameters!$C$17)*(1-Parameters!$C$18))</f>
        <v>8568.8691304898111</v>
      </c>
      <c r="F88" s="6">
        <f>F48*Data_checks!$D56*Parameters!$C$7*IF($B88&lt;Parameters!$C$16,1,(1+Parameters!$C$17)*(1-Parameters!$C$18))</f>
        <v>10101.345525882798</v>
      </c>
      <c r="G88" s="6">
        <f>G48*Data_checks!$D56*Parameters!$C$7*IF($B88&lt;Parameters!$C$16,1,(1+Parameters!$C$17)*(1-Parameters!$C$18))</f>
        <v>8825.4220984685471</v>
      </c>
      <c r="H88" s="6">
        <f>H48*Data_checks!$D56*Parameters!$C$7*IF($B88&lt;Parameters!$C$16,1,(1+Parameters!$C$17)*(1-Parameters!$C$18))</f>
        <v>8295.2126313124918</v>
      </c>
      <c r="I88" s="6">
        <f>I48*Data_checks!$D56*Parameters!$C$7*IF($B88&lt;Parameters!$C$16,1,(1+Parameters!$C$17)*(1-Parameters!$C$18))</f>
        <v>10723.914061511201</v>
      </c>
      <c r="J88" s="6">
        <f>J48*Data_checks!$D56*Parameters!$C$7*IF($B88&lt;Parameters!$C$16,1,(1+Parameters!$C$17)*(1-Parameters!$C$18))</f>
        <v>9595.0810024047587</v>
      </c>
      <c r="K88" s="6">
        <f>K48*Data_checks!$D56*Parameters!$C$7*IF($B88&lt;Parameters!$C$16,1,(1+Parameters!$C$17)*(1-Parameters!$C$18))</f>
        <v>7559.760789773446</v>
      </c>
      <c r="L88" s="6">
        <f>L48*Data_checks!$D56*Parameters!$C$7*IF($B88&lt;Parameters!$C$16,1,(1+Parameters!$C$17)*(1-Parameters!$C$18))</f>
        <v>9964.5172762941402</v>
      </c>
      <c r="M88" s="6">
        <f>M48*Data_checks!$D56*Parameters!$C$7*IF($B88&lt;Parameters!$C$16,1,(1+Parameters!$C$17)*(1-Parameters!$C$18))</f>
        <v>8825.4220984685471</v>
      </c>
      <c r="N88" s="6">
        <f>N48*Data_checks!$D56*Parameters!$C$7*IF($B88&lt;Parameters!$C$16,1,(1+Parameters!$C$17)*(1-Parameters!$C$18))</f>
        <v>7132.1725098088855</v>
      </c>
    </row>
    <row r="89" spans="2:14" x14ac:dyDescent="0.3">
      <c r="B89" s="23">
        <f t="shared" si="11"/>
        <v>14</v>
      </c>
      <c r="C89" s="6">
        <f>C49*Data_checks!$D57*Parameters!$C$7*IF($B89&lt;Parameters!$C$16,1,(1+Parameters!$C$17)*(1-Parameters!$C$18))</f>
        <v>7505.3101632704729</v>
      </c>
      <c r="D89" s="6">
        <f>D49*Data_checks!$D57*Parameters!$C$7*IF($B89&lt;Parameters!$C$16,1,(1+Parameters!$C$17)*(1-Parameters!$C$18))</f>
        <v>5978.3419820275913</v>
      </c>
      <c r="E89" s="6">
        <f>E49*Data_checks!$D57*Parameters!$C$7*IF($B89&lt;Parameters!$C$16,1,(1+Parameters!$C$17)*(1-Parameters!$C$18))</f>
        <v>6239.8944437412993</v>
      </c>
      <c r="F89" s="6">
        <f>F49*Data_checks!$D57*Parameters!$C$7*IF($B89&lt;Parameters!$C$16,1,(1+Parameters!$C$17)*(1-Parameters!$C$18))</f>
        <v>7355.8516137197821</v>
      </c>
      <c r="G89" s="6">
        <f>G49*Data_checks!$D57*Parameters!$C$7*IF($B89&lt;Parameters!$C$16,1,(1+Parameters!$C$17)*(1-Parameters!$C$18))</f>
        <v>6426.71763067966</v>
      </c>
      <c r="H89" s="6">
        <f>H49*Data_checks!$D57*Parameters!$C$7*IF($B89&lt;Parameters!$C$16,1,(1+Parameters!$C$17)*(1-Parameters!$C$18))</f>
        <v>6040.6163776737121</v>
      </c>
      <c r="I89" s="6">
        <f>I49*Data_checks!$D57*Parameters!$C$7*IF($B89&lt;Parameters!$C$16,1,(1+Parameters!$C$17)*(1-Parameters!$C$18))</f>
        <v>7809.2092140235409</v>
      </c>
      <c r="J89" s="6">
        <f>J49*Data_checks!$D57*Parameters!$C$7*IF($B89&lt;Parameters!$C$16,1,(1+Parameters!$C$17)*(1-Parameters!$C$18))</f>
        <v>6987.1871914947478</v>
      </c>
      <c r="K89" s="6">
        <f>K49*Data_checks!$D57*Parameters!$C$7*IF($B89&lt;Parameters!$C$16,1,(1+Parameters!$C$17)*(1-Parameters!$C$18))</f>
        <v>5505.0565751170743</v>
      </c>
      <c r="L89" s="6">
        <f>L49*Data_checks!$D57*Parameters!$C$7*IF($B89&lt;Parameters!$C$16,1,(1+Parameters!$C$17)*(1-Parameters!$C$18))</f>
        <v>7256.2125806859895</v>
      </c>
      <c r="M89" s="6">
        <f>M49*Data_checks!$D57*Parameters!$C$7*IF($B89&lt;Parameters!$C$16,1,(1+Parameters!$C$17)*(1-Parameters!$C$18))</f>
        <v>6426.71763067966</v>
      </c>
      <c r="N89" s="6">
        <f>N49*Data_checks!$D57*Parameters!$C$7*IF($B89&lt;Parameters!$C$16,1,(1+Parameters!$C$17)*(1-Parameters!$C$18))</f>
        <v>5193.68459688647</v>
      </c>
    </row>
    <row r="90" spans="2:14" x14ac:dyDescent="0.3">
      <c r="B90" s="1" t="s">
        <v>23</v>
      </c>
      <c r="C90" s="6">
        <f>SUM(C76:C89)</f>
        <v>2088008.9999999998</v>
      </c>
      <c r="D90" s="6">
        <f t="shared" ref="D90:N90" si="12">SUM(D76:D89)</f>
        <v>1663199.9999999993</v>
      </c>
      <c r="E90" s="6">
        <f t="shared" si="12"/>
        <v>1735964.9999999995</v>
      </c>
      <c r="F90" s="6">
        <f t="shared" si="12"/>
        <v>2046428.9999999998</v>
      </c>
      <c r="G90" s="6">
        <f t="shared" si="12"/>
        <v>1787939.9999999998</v>
      </c>
      <c r="H90" s="6">
        <f t="shared" si="12"/>
        <v>1680524.9999999998</v>
      </c>
      <c r="I90" s="6">
        <f t="shared" si="12"/>
        <v>2172555</v>
      </c>
      <c r="J90" s="6">
        <f t="shared" si="12"/>
        <v>1943864.9999999998</v>
      </c>
      <c r="K90" s="6">
        <f t="shared" si="12"/>
        <v>1531529.9999999998</v>
      </c>
      <c r="L90" s="6">
        <f t="shared" si="12"/>
        <v>2018708.9999999998</v>
      </c>
      <c r="M90" s="6">
        <f t="shared" si="12"/>
        <v>1787939.9999999998</v>
      </c>
      <c r="N90" s="6">
        <f t="shared" si="12"/>
        <v>1444904.9999999995</v>
      </c>
    </row>
    <row r="92" spans="2:14" x14ac:dyDescent="0.3">
      <c r="B92" s="1" t="s">
        <v>69</v>
      </c>
    </row>
    <row r="93" spans="2:14" x14ac:dyDescent="0.3">
      <c r="B93" s="23" t="s">
        <v>60</v>
      </c>
      <c r="C93" s="22" t="str">
        <f t="shared" ref="C93:N93" si="13">C75</f>
        <v>Jan</v>
      </c>
      <c r="D93" s="22" t="str">
        <f t="shared" si="13"/>
        <v>Feb</v>
      </c>
      <c r="E93" s="22" t="str">
        <f t="shared" si="13"/>
        <v>Mar</v>
      </c>
      <c r="F93" s="22" t="str">
        <f t="shared" si="13"/>
        <v>Apr</v>
      </c>
      <c r="G93" s="22" t="str">
        <f t="shared" si="13"/>
        <v>May</v>
      </c>
      <c r="H93" s="22" t="str">
        <f t="shared" si="13"/>
        <v>Jun</v>
      </c>
      <c r="I93" s="22" t="str">
        <f t="shared" si="13"/>
        <v>Jul</v>
      </c>
      <c r="J93" s="22" t="str">
        <f t="shared" si="13"/>
        <v>Aug</v>
      </c>
      <c r="K93" s="22" t="str">
        <f t="shared" si="13"/>
        <v>Sep</v>
      </c>
      <c r="L93" s="22" t="str">
        <f t="shared" si="13"/>
        <v>Oct</v>
      </c>
      <c r="M93" s="22" t="str">
        <f t="shared" si="13"/>
        <v>Nov</v>
      </c>
      <c r="N93" s="22" t="str">
        <f t="shared" si="13"/>
        <v>Dec</v>
      </c>
    </row>
    <row r="94" spans="2:14" x14ac:dyDescent="0.3">
      <c r="B94" s="23">
        <f>B7</f>
        <v>1</v>
      </c>
      <c r="C94" s="10">
        <f>INDEX(Data_checks!$I$31:$K$34,MATCH(C14,Data_checks!$H$31:$H$34,0),MATCH(LEFT(C7,1),Data_checks!$I$30:$K$30,0))</f>
        <v>0.55000000000000004</v>
      </c>
      <c r="D94" s="10">
        <f>INDEX(Data_checks!$I$31:$K$34,MATCH(D14,Data_checks!$H$31:$H$34,0),MATCH(LEFT(D7,1),Data_checks!$I$30:$K$30,0))</f>
        <v>0.45</v>
      </c>
      <c r="E94" s="10">
        <f>INDEX(Data_checks!$I$31:$K$34,MATCH(E14,Data_checks!$H$31:$H$34,0),MATCH(LEFT(E7,1),Data_checks!$I$30:$K$30,0))</f>
        <v>0.45</v>
      </c>
      <c r="F94" s="10">
        <f>INDEX(Data_checks!$I$31:$K$34,MATCH(F14,Data_checks!$H$31:$H$34,0),MATCH(LEFT(F7,1),Data_checks!$I$30:$K$30,0))</f>
        <v>0.55000000000000004</v>
      </c>
      <c r="G94" s="10">
        <f>INDEX(Data_checks!$I$31:$K$34,MATCH(G14,Data_checks!$H$31:$H$34,0),MATCH(LEFT(G7,1),Data_checks!$I$30:$K$30,0))</f>
        <v>0.45</v>
      </c>
      <c r="H94" s="10">
        <f>INDEX(Data_checks!$I$31:$K$34,MATCH(H14,Data_checks!$H$31:$H$34,0),MATCH(LEFT(H7,1),Data_checks!$I$30:$K$30,0))</f>
        <v>0.45</v>
      </c>
      <c r="I94" s="10">
        <f>INDEX(Data_checks!$I$31:$K$34,MATCH(I14,Data_checks!$H$31:$H$34,0),MATCH(LEFT(I7,1),Data_checks!$I$30:$K$30,0))</f>
        <v>0.65</v>
      </c>
      <c r="J94" s="10">
        <f>INDEX(Data_checks!$I$31:$K$34,MATCH(J14,Data_checks!$H$31:$H$34,0),MATCH(LEFT(J7,1),Data_checks!$I$30:$K$30,0))</f>
        <v>0.55000000000000004</v>
      </c>
      <c r="K94" s="10">
        <f>INDEX(Data_checks!$I$31:$K$34,MATCH(K14,Data_checks!$H$31:$H$34,0),MATCH(LEFT(K7,1),Data_checks!$I$30:$K$30,0))</f>
        <v>0.35</v>
      </c>
      <c r="L94" s="10">
        <f>INDEX(Data_checks!$I$31:$K$34,MATCH(L14,Data_checks!$H$31:$H$34,0),MATCH(LEFT(L7,1),Data_checks!$I$30:$K$30,0))</f>
        <v>0.55000000000000004</v>
      </c>
      <c r="M94" s="10">
        <f>INDEX(Data_checks!$I$31:$K$34,MATCH(M14,Data_checks!$H$31:$H$34,0),MATCH(LEFT(M7,1),Data_checks!$I$30:$K$30,0))</f>
        <v>0.45</v>
      </c>
      <c r="N94" s="10">
        <f>INDEX(Data_checks!$I$31:$K$34,MATCH(N14,Data_checks!$H$31:$H$34,0),MATCH(LEFT(N7,1),Data_checks!$I$30:$K$30,0))</f>
        <v>0.35</v>
      </c>
    </row>
    <row r="95" spans="2:14" x14ac:dyDescent="0.3">
      <c r="B95" s="23">
        <f>B8</f>
        <v>2</v>
      </c>
      <c r="C95" s="10">
        <f>INDEX(Data_checks!$I$31:$K$34,MATCH(C15,Data_checks!$H$31:$H$34,0),MATCH(LEFT(C8,1),Data_checks!$I$30:$K$30,0))</f>
        <v>0.55000000000000004</v>
      </c>
      <c r="D95" s="10">
        <f>INDEX(Data_checks!$I$31:$K$34,MATCH(D15,Data_checks!$H$31:$H$34,0),MATCH(LEFT(D8,1),Data_checks!$I$30:$K$30,0))</f>
        <v>0.35</v>
      </c>
      <c r="E95" s="10">
        <f>INDEX(Data_checks!$I$31:$K$34,MATCH(E15,Data_checks!$H$31:$H$34,0),MATCH(LEFT(E8,1),Data_checks!$I$30:$K$30,0))</f>
        <v>0.3</v>
      </c>
      <c r="F95" s="10">
        <f>INDEX(Data_checks!$I$31:$K$34,MATCH(F15,Data_checks!$H$31:$H$34,0),MATCH(LEFT(F8,1),Data_checks!$I$30:$K$30,0))</f>
        <v>0.55000000000000004</v>
      </c>
      <c r="G95" s="10">
        <f>INDEX(Data_checks!$I$31:$K$34,MATCH(G15,Data_checks!$H$31:$H$34,0),MATCH(LEFT(G8,1),Data_checks!$I$30:$K$30,0))</f>
        <v>0.45</v>
      </c>
      <c r="H95" s="10">
        <f>INDEX(Data_checks!$I$31:$K$34,MATCH(H15,Data_checks!$H$31:$H$34,0),MATCH(LEFT(H8,1),Data_checks!$I$30:$K$30,0))</f>
        <v>0.3</v>
      </c>
      <c r="I95" s="10">
        <f>INDEX(Data_checks!$I$31:$K$34,MATCH(I15,Data_checks!$H$31:$H$34,0),MATCH(LEFT(I8,1),Data_checks!$I$30:$K$30,0))</f>
        <v>0.65</v>
      </c>
      <c r="J95" s="10">
        <f>INDEX(Data_checks!$I$31:$K$34,MATCH(J15,Data_checks!$H$31:$H$34,0),MATCH(LEFT(J8,1),Data_checks!$I$30:$K$30,0))</f>
        <v>0.55000000000000004</v>
      </c>
      <c r="K95" s="10">
        <f>INDEX(Data_checks!$I$31:$K$34,MATCH(K15,Data_checks!$H$31:$H$34,0),MATCH(LEFT(K8,1),Data_checks!$I$30:$K$30,0))</f>
        <v>0.45</v>
      </c>
      <c r="L95" s="10">
        <f>INDEX(Data_checks!$I$31:$K$34,MATCH(L15,Data_checks!$H$31:$H$34,0),MATCH(LEFT(L8,1),Data_checks!$I$30:$K$30,0))</f>
        <v>0.55000000000000004</v>
      </c>
      <c r="M95" s="10">
        <f>INDEX(Data_checks!$I$31:$K$34,MATCH(M15,Data_checks!$H$31:$H$34,0),MATCH(LEFT(M8,1),Data_checks!$I$30:$K$30,0))</f>
        <v>0.45</v>
      </c>
      <c r="N95" s="10">
        <f>INDEX(Data_checks!$I$31:$K$34,MATCH(N15,Data_checks!$H$31:$H$34,0),MATCH(LEFT(N8,1),Data_checks!$I$30:$K$30,0))</f>
        <v>0.3</v>
      </c>
    </row>
    <row r="96" spans="2:14" x14ac:dyDescent="0.3">
      <c r="B96" s="23">
        <f>B9</f>
        <v>3</v>
      </c>
      <c r="C96" s="10">
        <f>INDEX(Data_checks!$I$31:$K$34,MATCH(C16,Data_checks!$H$31:$H$34,0),MATCH(LEFT(C9,1),Data_checks!$I$30:$K$30,0))</f>
        <v>0.45</v>
      </c>
      <c r="D96" s="10">
        <f>INDEX(Data_checks!$I$31:$K$34,MATCH(D16,Data_checks!$H$31:$H$34,0),MATCH(LEFT(D9,1),Data_checks!$I$30:$K$30,0))</f>
        <v>0.35</v>
      </c>
      <c r="E96" s="10">
        <f>INDEX(Data_checks!$I$31:$K$34,MATCH(E16,Data_checks!$H$31:$H$34,0),MATCH(LEFT(E9,1),Data_checks!$I$30:$K$30,0))</f>
        <v>0.45</v>
      </c>
      <c r="F96" s="10">
        <f>INDEX(Data_checks!$I$31:$K$34,MATCH(F16,Data_checks!$H$31:$H$34,0),MATCH(LEFT(F9,1),Data_checks!$I$30:$K$30,0))</f>
        <v>0.45</v>
      </c>
      <c r="G96" s="10">
        <f>INDEX(Data_checks!$I$31:$K$34,MATCH(G16,Data_checks!$H$31:$H$34,0),MATCH(LEFT(G9,1),Data_checks!$I$30:$K$30,0))</f>
        <v>0.35</v>
      </c>
      <c r="H96" s="10">
        <f>INDEX(Data_checks!$I$31:$K$34,MATCH(H16,Data_checks!$H$31:$H$34,0),MATCH(LEFT(H9,1),Data_checks!$I$30:$K$30,0))</f>
        <v>0.35</v>
      </c>
      <c r="I96" s="10">
        <f>INDEX(Data_checks!$I$31:$K$34,MATCH(I16,Data_checks!$H$31:$H$34,0),MATCH(LEFT(I9,1),Data_checks!$I$30:$K$30,0))</f>
        <v>0.65</v>
      </c>
      <c r="J96" s="10">
        <f>INDEX(Data_checks!$I$31:$K$34,MATCH(J16,Data_checks!$H$31:$H$34,0),MATCH(LEFT(J9,1),Data_checks!$I$30:$K$30,0))</f>
        <v>0.45</v>
      </c>
      <c r="K96" s="10">
        <f>INDEX(Data_checks!$I$31:$K$34,MATCH(K16,Data_checks!$H$31:$H$34,0),MATCH(LEFT(K9,1),Data_checks!$I$30:$K$30,0))</f>
        <v>0.45</v>
      </c>
      <c r="L96" s="10">
        <f>INDEX(Data_checks!$I$31:$K$34,MATCH(L16,Data_checks!$H$31:$H$34,0),MATCH(LEFT(L9,1),Data_checks!$I$30:$K$30,0))</f>
        <v>0.2</v>
      </c>
      <c r="M96" s="10">
        <f>INDEX(Data_checks!$I$31:$K$34,MATCH(M16,Data_checks!$H$31:$H$34,0),MATCH(LEFT(M9,1),Data_checks!$I$30:$K$30,0))</f>
        <v>0.35</v>
      </c>
      <c r="N96" s="10">
        <f>INDEX(Data_checks!$I$31:$K$34,MATCH(N16,Data_checks!$H$31:$H$34,0),MATCH(LEFT(N9,1),Data_checks!$I$30:$K$30,0))</f>
        <v>0.35</v>
      </c>
    </row>
    <row r="97" spans="2:15" x14ac:dyDescent="0.3">
      <c r="B97" s="23">
        <f>B10</f>
        <v>4</v>
      </c>
      <c r="C97" s="10">
        <f>INDEX(Data_checks!$I$31:$K$34,MATCH(C17,Data_checks!$H$31:$H$34,0),MATCH(LEFT(C10,1),Data_checks!$I$30:$K$30,0))</f>
        <v>0.45</v>
      </c>
      <c r="D97" s="10">
        <f>INDEX(Data_checks!$I$31:$K$34,MATCH(D17,Data_checks!$H$31:$H$34,0),MATCH(LEFT(D10,1),Data_checks!$I$30:$K$30,0))</f>
        <v>0.35</v>
      </c>
      <c r="E97" s="10">
        <f>INDEX(Data_checks!$I$31:$K$34,MATCH(E17,Data_checks!$H$31:$H$34,0),MATCH(LEFT(E10,1),Data_checks!$I$30:$K$30,0))</f>
        <v>0.15</v>
      </c>
      <c r="F97" s="10">
        <f>INDEX(Data_checks!$I$31:$K$34,MATCH(F17,Data_checks!$H$31:$H$34,0),MATCH(LEFT(F10,1),Data_checks!$I$30:$K$30,0))</f>
        <v>0.35</v>
      </c>
      <c r="G97" s="10">
        <f>INDEX(Data_checks!$I$31:$K$34,MATCH(G17,Data_checks!$H$31:$H$34,0),MATCH(LEFT(G10,1),Data_checks!$I$30:$K$30,0))</f>
        <v>0.35</v>
      </c>
      <c r="H97" s="10">
        <f>INDEX(Data_checks!$I$31:$K$34,MATCH(H17,Data_checks!$H$31:$H$34,0),MATCH(LEFT(H10,1),Data_checks!$I$30:$K$30,0))</f>
        <v>0.15</v>
      </c>
      <c r="I97" s="10">
        <f>INDEX(Data_checks!$I$31:$K$34,MATCH(I17,Data_checks!$H$31:$H$34,0),MATCH(LEFT(I10,1),Data_checks!$I$30:$K$30,0))</f>
        <v>0.35</v>
      </c>
      <c r="J97" s="10">
        <f>INDEX(Data_checks!$I$31:$K$34,MATCH(J17,Data_checks!$H$31:$H$34,0),MATCH(LEFT(J10,1),Data_checks!$I$30:$K$30,0))</f>
        <v>0.45</v>
      </c>
      <c r="K97" s="10">
        <f>INDEX(Data_checks!$I$31:$K$34,MATCH(K17,Data_checks!$H$31:$H$34,0),MATCH(LEFT(K10,1),Data_checks!$I$30:$K$30,0))</f>
        <v>0.35</v>
      </c>
      <c r="L97" s="10">
        <f>INDEX(Data_checks!$I$31:$K$34,MATCH(L17,Data_checks!$H$31:$H$34,0),MATCH(LEFT(L10,1),Data_checks!$I$30:$K$30,0))</f>
        <v>0.45</v>
      </c>
      <c r="M97" s="10">
        <f>INDEX(Data_checks!$I$31:$K$34,MATCH(M17,Data_checks!$H$31:$H$34,0),MATCH(LEFT(M10,1),Data_checks!$I$30:$K$30,0))</f>
        <v>0.35</v>
      </c>
      <c r="N97" s="10">
        <f>INDEX(Data_checks!$I$31:$K$34,MATCH(N17,Data_checks!$H$31:$H$34,0),MATCH(LEFT(N10,1),Data_checks!$I$30:$K$30,0))</f>
        <v>0.15</v>
      </c>
    </row>
    <row r="99" spans="2:15" x14ac:dyDescent="0.3">
      <c r="B99" s="1" t="s">
        <v>70</v>
      </c>
    </row>
    <row r="100" spans="2:15" x14ac:dyDescent="0.3">
      <c r="B100" s="23" t="s">
        <v>60</v>
      </c>
      <c r="C100" s="22" t="str">
        <f>C93</f>
        <v>Jan</v>
      </c>
      <c r="D100" s="22" t="str">
        <f t="shared" ref="D100:N100" si="14">D93</f>
        <v>Feb</v>
      </c>
      <c r="E100" s="22" t="str">
        <f t="shared" si="14"/>
        <v>Mar</v>
      </c>
      <c r="F100" s="22" t="str">
        <f t="shared" si="14"/>
        <v>Apr</v>
      </c>
      <c r="G100" s="22" t="str">
        <f t="shared" si="14"/>
        <v>May</v>
      </c>
      <c r="H100" s="22" t="str">
        <f t="shared" si="14"/>
        <v>Jun</v>
      </c>
      <c r="I100" s="22" t="str">
        <f t="shared" si="14"/>
        <v>Jul</v>
      </c>
      <c r="J100" s="22" t="str">
        <f t="shared" si="14"/>
        <v>Aug</v>
      </c>
      <c r="K100" s="22" t="str">
        <f t="shared" si="14"/>
        <v>Sep</v>
      </c>
      <c r="L100" s="22" t="str">
        <f t="shared" si="14"/>
        <v>Oct</v>
      </c>
      <c r="M100" s="22" t="str">
        <f t="shared" si="14"/>
        <v>Nov</v>
      </c>
      <c r="N100" s="22" t="str">
        <f t="shared" si="14"/>
        <v>Dec</v>
      </c>
    </row>
    <row r="101" spans="2:15" x14ac:dyDescent="0.3">
      <c r="B101" s="23">
        <f>B7</f>
        <v>1</v>
      </c>
      <c r="C101" s="6">
        <f>C94*C28*Parameters!$C$6</f>
        <v>1017373.5</v>
      </c>
      <c r="D101" s="6">
        <f>D94*D28*Parameters!$C$6</f>
        <v>716040</v>
      </c>
      <c r="E101" s="6">
        <f>E94*E28*Parameters!$C$6</f>
        <v>760792.5</v>
      </c>
      <c r="F101" s="6">
        <f>F94*F28*Parameters!$C$6</f>
        <v>1017373.5</v>
      </c>
      <c r="G101" s="6">
        <f>G94*G28*Parameters!$C$6</f>
        <v>716040</v>
      </c>
      <c r="H101" s="6">
        <f>H94*H28*Parameters!$C$6</f>
        <v>760792.5</v>
      </c>
      <c r="I101" s="6">
        <f>I94*I28*Parameters!$C$6</f>
        <v>1266993</v>
      </c>
      <c r="J101" s="6">
        <f>J94*J28*Parameters!$C$6</f>
        <v>929857.5</v>
      </c>
      <c r="K101" s="6">
        <f>K94*K28*Parameters!$C$6</f>
        <v>452497.5</v>
      </c>
      <c r="L101" s="6">
        <f>L94*L28*Parameters!$C$6</f>
        <v>1017373.5</v>
      </c>
      <c r="M101" s="6">
        <f>M94*M28*Parameters!$C$6</f>
        <v>716040</v>
      </c>
      <c r="N101" s="6">
        <f>N94*N28*Parameters!$C$6</f>
        <v>452497.5</v>
      </c>
    </row>
    <row r="102" spans="2:15" x14ac:dyDescent="0.3">
      <c r="B102" s="23">
        <f>B8</f>
        <v>2</v>
      </c>
      <c r="C102" s="6">
        <f>C95*C29*Parameters!$C$6</f>
        <v>538609.5</v>
      </c>
      <c r="D102" s="6">
        <f>D95*D29*Parameters!$C$6</f>
        <v>239557.5</v>
      </c>
      <c r="E102" s="6">
        <f>E95*E29*Parameters!$C$6</f>
        <v>205335</v>
      </c>
      <c r="F102" s="6">
        <f>F95*F29*Parameters!$C$6</f>
        <v>538609.5</v>
      </c>
      <c r="G102" s="6">
        <f>G95*G29*Parameters!$C$6</f>
        <v>402772.5</v>
      </c>
      <c r="H102" s="6">
        <f>H95*H29*Parameters!$C$6</f>
        <v>205335</v>
      </c>
      <c r="I102" s="6">
        <f>I95*I29*Parameters!$C$6</f>
        <v>670761</v>
      </c>
      <c r="J102" s="6">
        <f>J95*J29*Parameters!$C$6</f>
        <v>492277.5</v>
      </c>
      <c r="K102" s="6">
        <f>K95*K29*Parameters!$C$6</f>
        <v>331695</v>
      </c>
      <c r="L102" s="6">
        <f>L95*L29*Parameters!$C$6</f>
        <v>538609.5</v>
      </c>
      <c r="M102" s="6">
        <f>M95*M29*Parameters!$C$6</f>
        <v>402772.5</v>
      </c>
      <c r="N102" s="6">
        <f>N95*N29*Parameters!$C$6</f>
        <v>205335</v>
      </c>
    </row>
    <row r="103" spans="2:15" x14ac:dyDescent="0.3">
      <c r="B103" s="23">
        <f>B9</f>
        <v>3</v>
      </c>
      <c r="C103" s="6">
        <f>C96*C30*Parameters!$C$6</f>
        <v>179010</v>
      </c>
      <c r="D103" s="6">
        <f>D96*D30*Parameters!$C$6</f>
        <v>106469.99999999999</v>
      </c>
      <c r="E103" s="6">
        <f>E96*E30*Parameters!$C$6</f>
        <v>179010</v>
      </c>
      <c r="F103" s="6">
        <f>F96*F30*Parameters!$C$6</f>
        <v>179010</v>
      </c>
      <c r="G103" s="6">
        <f>G96*G30*Parameters!$C$6</f>
        <v>106469.99999999999</v>
      </c>
      <c r="H103" s="6">
        <f>H96*H30*Parameters!$C$6</f>
        <v>106469.99999999999</v>
      </c>
      <c r="I103" s="6">
        <f>I96*I30*Parameters!$C$6</f>
        <v>298116</v>
      </c>
      <c r="J103" s="6">
        <f>J96*J30*Parameters!$C$6</f>
        <v>179010</v>
      </c>
      <c r="K103" s="6">
        <f>K96*K30*Parameters!$C$6</f>
        <v>147420</v>
      </c>
      <c r="L103" s="6">
        <f>L96*L30*Parameters!$C$6</f>
        <v>56160</v>
      </c>
      <c r="M103" s="6">
        <f>M96*M30*Parameters!$C$6</f>
        <v>106469.99999999999</v>
      </c>
      <c r="N103" s="6">
        <f>N96*N30*Parameters!$C$6</f>
        <v>106469.99999999999</v>
      </c>
    </row>
    <row r="104" spans="2:15" x14ac:dyDescent="0.3">
      <c r="B104" s="23">
        <f>B10</f>
        <v>4</v>
      </c>
      <c r="C104" s="6">
        <f>C97*C31*Parameters!$C$6</f>
        <v>134257.5</v>
      </c>
      <c r="D104" s="6">
        <f>D97*D31*Parameters!$C$6</f>
        <v>79852.5</v>
      </c>
      <c r="E104" s="6">
        <f>E97*E31*Parameters!$C$6</f>
        <v>23692.5</v>
      </c>
      <c r="F104" s="6">
        <f>F97*F31*Parameters!$C$6</f>
        <v>79852.5</v>
      </c>
      <c r="G104" s="6">
        <f>G97*G31*Parameters!$C$6</f>
        <v>79852.5</v>
      </c>
      <c r="H104" s="6">
        <f>H97*H31*Parameters!$C$6</f>
        <v>23692.5</v>
      </c>
      <c r="I104" s="6">
        <f>I97*I31*Parameters!$C$6</f>
        <v>79852.5</v>
      </c>
      <c r="J104" s="6">
        <f>J97*J31*Parameters!$C$6</f>
        <v>134257.5</v>
      </c>
      <c r="K104" s="6">
        <f>K97*K31*Parameters!$C$6</f>
        <v>79852.5</v>
      </c>
      <c r="L104" s="6">
        <f>L97*L31*Parameters!$C$6</f>
        <v>134257.5</v>
      </c>
      <c r="M104" s="6">
        <f>M97*M31*Parameters!$C$6</f>
        <v>79852.5</v>
      </c>
      <c r="N104" s="6">
        <f>N97*N31*Parameters!$C$6</f>
        <v>23692.5</v>
      </c>
    </row>
    <row r="105" spans="2:15" s="1" customFormat="1" ht="13.95" customHeight="1" x14ac:dyDescent="0.3">
      <c r="B105" s="1" t="s">
        <v>21</v>
      </c>
      <c r="C105" s="17">
        <f>SUM(C101:C104)</f>
        <v>1869250.5</v>
      </c>
      <c r="D105" s="17">
        <f t="shared" ref="D105:N105" si="15">SUM(D101:D104)</f>
        <v>1141920</v>
      </c>
      <c r="E105" s="17">
        <f t="shared" si="15"/>
        <v>1168830</v>
      </c>
      <c r="F105" s="17">
        <f t="shared" si="15"/>
        <v>1814845.5</v>
      </c>
      <c r="G105" s="17">
        <f t="shared" si="15"/>
        <v>1305135</v>
      </c>
      <c r="H105" s="17">
        <f t="shared" si="15"/>
        <v>1096290</v>
      </c>
      <c r="I105" s="17">
        <f t="shared" si="15"/>
        <v>2315722.5</v>
      </c>
      <c r="J105" s="17">
        <f t="shared" si="15"/>
        <v>1735402.5</v>
      </c>
      <c r="K105" s="17">
        <f t="shared" si="15"/>
        <v>1011465</v>
      </c>
      <c r="L105" s="17">
        <f t="shared" si="15"/>
        <v>1746400.5</v>
      </c>
      <c r="M105" s="17">
        <f t="shared" si="15"/>
        <v>1305135</v>
      </c>
      <c r="N105" s="17">
        <f t="shared" si="15"/>
        <v>787995</v>
      </c>
    </row>
    <row r="107" spans="2:15" x14ac:dyDescent="0.3">
      <c r="B107" s="1" t="s">
        <v>59</v>
      </c>
    </row>
    <row r="108" spans="2:15" x14ac:dyDescent="0.3">
      <c r="C108" s="22" t="str">
        <f>C100</f>
        <v>Jan</v>
      </c>
      <c r="D108" s="22" t="str">
        <f t="shared" ref="D108:N108" si="16">D100</f>
        <v>Feb</v>
      </c>
      <c r="E108" s="22" t="str">
        <f t="shared" si="16"/>
        <v>Mar</v>
      </c>
      <c r="F108" s="22" t="str">
        <f t="shared" si="16"/>
        <v>Apr</v>
      </c>
      <c r="G108" s="22" t="str">
        <f t="shared" si="16"/>
        <v>May</v>
      </c>
      <c r="H108" s="22" t="str">
        <f t="shared" si="16"/>
        <v>Jun</v>
      </c>
      <c r="I108" s="22" t="str">
        <f t="shared" si="16"/>
        <v>Jul</v>
      </c>
      <c r="J108" s="22" t="str">
        <f t="shared" si="16"/>
        <v>Aug</v>
      </c>
      <c r="K108" s="22" t="str">
        <f t="shared" si="16"/>
        <v>Sep</v>
      </c>
      <c r="L108" s="22" t="str">
        <f t="shared" si="16"/>
        <v>Oct</v>
      </c>
      <c r="M108" s="22" t="str">
        <f t="shared" si="16"/>
        <v>Nov</v>
      </c>
      <c r="N108" s="22" t="str">
        <f t="shared" si="16"/>
        <v>Dec</v>
      </c>
      <c r="O108" s="22" t="s">
        <v>21</v>
      </c>
    </row>
    <row r="109" spans="2:15" x14ac:dyDescent="0.3">
      <c r="B109" t="s">
        <v>18</v>
      </c>
      <c r="C109" s="11">
        <f t="shared" ref="C109:N109" si="17">C55</f>
        <v>3525210.0000000009</v>
      </c>
      <c r="D109" s="11">
        <f t="shared" si="17"/>
        <v>2807999.9999999995</v>
      </c>
      <c r="E109" s="11">
        <f t="shared" si="17"/>
        <v>2930850</v>
      </c>
      <c r="F109" s="11">
        <f t="shared" si="17"/>
        <v>3455010</v>
      </c>
      <c r="G109" s="11">
        <f t="shared" si="17"/>
        <v>3018600</v>
      </c>
      <c r="H109" s="11">
        <f t="shared" si="17"/>
        <v>2837250.0000000009</v>
      </c>
      <c r="I109" s="11">
        <f t="shared" si="17"/>
        <v>3667950</v>
      </c>
      <c r="J109" s="11">
        <f t="shared" si="17"/>
        <v>3281849.9999999995</v>
      </c>
      <c r="K109" s="11">
        <f t="shared" si="17"/>
        <v>2585699.9999999995</v>
      </c>
      <c r="L109" s="11">
        <f t="shared" si="17"/>
        <v>3408210</v>
      </c>
      <c r="M109" s="11">
        <f t="shared" si="17"/>
        <v>3018600</v>
      </c>
      <c r="N109" s="11">
        <f t="shared" si="17"/>
        <v>2439450</v>
      </c>
      <c r="O109" s="11">
        <f>SUM(C109:N109)</f>
        <v>36976680</v>
      </c>
    </row>
    <row r="110" spans="2:15" x14ac:dyDescent="0.3">
      <c r="B110" t="s">
        <v>102</v>
      </c>
      <c r="C110" s="11">
        <f t="shared" ref="C110:N110" si="18">C72</f>
        <v>0</v>
      </c>
      <c r="D110" s="11">
        <f t="shared" si="18"/>
        <v>0</v>
      </c>
      <c r="E110" s="11">
        <f t="shared" si="18"/>
        <v>0</v>
      </c>
      <c r="F110" s="11">
        <f t="shared" si="18"/>
        <v>0</v>
      </c>
      <c r="G110" s="11">
        <f t="shared" si="18"/>
        <v>0</v>
      </c>
      <c r="H110" s="11">
        <f t="shared" si="18"/>
        <v>0</v>
      </c>
      <c r="I110" s="11">
        <f t="shared" si="18"/>
        <v>0</v>
      </c>
      <c r="J110" s="11">
        <f t="shared" si="18"/>
        <v>0</v>
      </c>
      <c r="K110" s="11">
        <f t="shared" si="18"/>
        <v>0</v>
      </c>
      <c r="L110" s="11">
        <f t="shared" si="18"/>
        <v>0</v>
      </c>
      <c r="M110" s="11">
        <f t="shared" si="18"/>
        <v>0</v>
      </c>
      <c r="N110" s="11">
        <f t="shared" si="18"/>
        <v>0</v>
      </c>
      <c r="O110" s="11">
        <f t="shared" ref="O110:O116" si="19">SUM(C110:N110)</f>
        <v>0</v>
      </c>
    </row>
    <row r="111" spans="2:15" x14ac:dyDescent="0.3">
      <c r="B111" t="s">
        <v>26</v>
      </c>
      <c r="C111" s="11">
        <f t="shared" ref="C111:N111" si="20">C90</f>
        <v>2088008.9999999998</v>
      </c>
      <c r="D111" s="11">
        <f t="shared" si="20"/>
        <v>1663199.9999999993</v>
      </c>
      <c r="E111" s="11">
        <f t="shared" si="20"/>
        <v>1735964.9999999995</v>
      </c>
      <c r="F111" s="11">
        <f t="shared" si="20"/>
        <v>2046428.9999999998</v>
      </c>
      <c r="G111" s="11">
        <f t="shared" si="20"/>
        <v>1787939.9999999998</v>
      </c>
      <c r="H111" s="11">
        <f t="shared" si="20"/>
        <v>1680524.9999999998</v>
      </c>
      <c r="I111" s="11">
        <f t="shared" si="20"/>
        <v>2172555</v>
      </c>
      <c r="J111" s="11">
        <f t="shared" si="20"/>
        <v>1943864.9999999998</v>
      </c>
      <c r="K111" s="11">
        <f t="shared" si="20"/>
        <v>1531529.9999999998</v>
      </c>
      <c r="L111" s="11">
        <f t="shared" si="20"/>
        <v>2018708.9999999998</v>
      </c>
      <c r="M111" s="11">
        <f t="shared" si="20"/>
        <v>1787939.9999999998</v>
      </c>
      <c r="N111" s="11">
        <f t="shared" si="20"/>
        <v>1444904.9999999995</v>
      </c>
      <c r="O111" s="11">
        <f t="shared" si="19"/>
        <v>21901571.999999996</v>
      </c>
    </row>
    <row r="112" spans="2:15" x14ac:dyDescent="0.3">
      <c r="B112" t="s">
        <v>71</v>
      </c>
      <c r="C112" s="11">
        <f>-C105</f>
        <v>-1869250.5</v>
      </c>
      <c r="D112" s="11">
        <f t="shared" ref="D112:N112" si="21">-D105</f>
        <v>-1141920</v>
      </c>
      <c r="E112" s="11">
        <f t="shared" si="21"/>
        <v>-1168830</v>
      </c>
      <c r="F112" s="11">
        <f t="shared" si="21"/>
        <v>-1814845.5</v>
      </c>
      <c r="G112" s="11">
        <f t="shared" si="21"/>
        <v>-1305135</v>
      </c>
      <c r="H112" s="11">
        <f t="shared" si="21"/>
        <v>-1096290</v>
      </c>
      <c r="I112" s="11">
        <f t="shared" si="21"/>
        <v>-2315722.5</v>
      </c>
      <c r="J112" s="11">
        <f t="shared" si="21"/>
        <v>-1735402.5</v>
      </c>
      <c r="K112" s="11">
        <f t="shared" si="21"/>
        <v>-1011465</v>
      </c>
      <c r="L112" s="11">
        <f t="shared" si="21"/>
        <v>-1746400.5</v>
      </c>
      <c r="M112" s="11">
        <f t="shared" si="21"/>
        <v>-1305135</v>
      </c>
      <c r="N112" s="11">
        <f t="shared" si="21"/>
        <v>-787995</v>
      </c>
      <c r="O112" s="11">
        <f t="shared" si="19"/>
        <v>-17298391.5</v>
      </c>
    </row>
    <row r="113" spans="2:15" x14ac:dyDescent="0.3">
      <c r="B113" t="s">
        <v>81</v>
      </c>
      <c r="C113" s="11">
        <f>-C90/Parameters!$C$7*Parameters!$C$13</f>
        <v>-189818.99999999997</v>
      </c>
      <c r="D113" s="11">
        <f>-D90/Parameters!$C$7*Parameters!$C$13</f>
        <v>-151199.99999999994</v>
      </c>
      <c r="E113" s="11">
        <f>-E90/Parameters!$C$7*Parameters!$C$13</f>
        <v>-157814.99999999997</v>
      </c>
      <c r="F113" s="11">
        <f>-F90/Parameters!$C$7*Parameters!$C$13</f>
        <v>-186038.99999999997</v>
      </c>
      <c r="G113" s="11">
        <f>-G90/Parameters!$C$7*Parameters!$C$13</f>
        <v>-162539.99999999997</v>
      </c>
      <c r="H113" s="11">
        <f>-H90/Parameters!$C$7*Parameters!$C$13</f>
        <v>-152774.99999999997</v>
      </c>
      <c r="I113" s="11">
        <f>-I90/Parameters!$C$7*Parameters!$C$13</f>
        <v>-197505</v>
      </c>
      <c r="J113" s="11">
        <f>-J90/Parameters!$C$7*Parameters!$C$13</f>
        <v>-176714.99999999997</v>
      </c>
      <c r="K113" s="11">
        <f>-K90/Parameters!$C$7*Parameters!$C$13</f>
        <v>-139229.99999999997</v>
      </c>
      <c r="L113" s="11">
        <f>-L90/Parameters!$C$7*Parameters!$C$13</f>
        <v>-183518.99999999997</v>
      </c>
      <c r="M113" s="11">
        <f>-M90/Parameters!$C$7*Parameters!$C$13</f>
        <v>-162539.99999999997</v>
      </c>
      <c r="N113" s="11">
        <f>-N90/Parameters!$C$7*Parameters!$C$13</f>
        <v>-131354.99999999997</v>
      </c>
      <c r="O113" s="11">
        <f t="shared" si="19"/>
        <v>-1991052</v>
      </c>
    </row>
    <row r="114" spans="2:15" x14ac:dyDescent="0.3">
      <c r="B114" t="s">
        <v>36</v>
      </c>
      <c r="C114" s="11">
        <f>-Parameters!$C$12</f>
        <v>-300000</v>
      </c>
      <c r="D114" s="11">
        <f>-Parameters!$C$12</f>
        <v>-300000</v>
      </c>
      <c r="E114" s="11">
        <f>-Parameters!$C$12</f>
        <v>-300000</v>
      </c>
      <c r="F114" s="11">
        <f>-Parameters!$C$12</f>
        <v>-300000</v>
      </c>
      <c r="G114" s="11">
        <f>-Parameters!$C$12</f>
        <v>-300000</v>
      </c>
      <c r="H114" s="11">
        <f>-Parameters!$C$12</f>
        <v>-300000</v>
      </c>
      <c r="I114" s="11">
        <f>-Parameters!$C$12</f>
        <v>-300000</v>
      </c>
      <c r="J114" s="11">
        <f>-Parameters!$C$12</f>
        <v>-300000</v>
      </c>
      <c r="K114" s="11">
        <f>-Parameters!$C$12</f>
        <v>-300000</v>
      </c>
      <c r="L114" s="11">
        <f>-Parameters!$C$12</f>
        <v>-300000</v>
      </c>
      <c r="M114" s="11">
        <f>-Parameters!$C$12</f>
        <v>-300000</v>
      </c>
      <c r="N114" s="11">
        <f>-Parameters!$C$12</f>
        <v>-300000</v>
      </c>
      <c r="O114" s="11">
        <f t="shared" si="19"/>
        <v>-3600000</v>
      </c>
    </row>
    <row r="115" spans="2:15" x14ac:dyDescent="0.3">
      <c r="B115" t="s">
        <v>79</v>
      </c>
      <c r="C115" s="12">
        <f>-(Parameters!$C$9*Parameters!$C$10*Parameters!$C$5*Parameters!$C$11)</f>
        <v>-192000</v>
      </c>
      <c r="D115" s="12">
        <f>-(Parameters!$C$9*Parameters!$C$10*Parameters!$C$5*Parameters!$C$11)</f>
        <v>-192000</v>
      </c>
      <c r="E115" s="12">
        <f>-(Parameters!$C$9*Parameters!$C$10*Parameters!$C$5*Parameters!$C$11)</f>
        <v>-192000</v>
      </c>
      <c r="F115" s="12">
        <f>-(Parameters!$C$9*Parameters!$C$10*Parameters!$C$5*Parameters!$C$11)</f>
        <v>-192000</v>
      </c>
      <c r="G115" s="12">
        <f>-(Parameters!$C$9*Parameters!$C$10*Parameters!$C$5*Parameters!$C$11)</f>
        <v>-192000</v>
      </c>
      <c r="H115" s="12">
        <f>-(Parameters!$C$9*Parameters!$C$10*Parameters!$C$5*Parameters!$C$11)</f>
        <v>-192000</v>
      </c>
      <c r="I115" s="12">
        <f>-(Parameters!$C$9*Parameters!$C$10*Parameters!$C$5*Parameters!$C$11)</f>
        <v>-192000</v>
      </c>
      <c r="J115" s="12">
        <f>-(Parameters!$C$9*Parameters!$C$10*Parameters!$C$5*Parameters!$C$11)</f>
        <v>-192000</v>
      </c>
      <c r="K115" s="12">
        <f>-(Parameters!$C$9*Parameters!$C$10*Parameters!$C$5*Parameters!$C$11)</f>
        <v>-192000</v>
      </c>
      <c r="L115" s="12">
        <f>-(Parameters!$C$9*Parameters!$C$10*Parameters!$C$5*Parameters!$C$11)</f>
        <v>-192000</v>
      </c>
      <c r="M115" s="12">
        <f>-(Parameters!$C$9*Parameters!$C$10*Parameters!$C$5*Parameters!$C$11)</f>
        <v>-192000</v>
      </c>
      <c r="N115" s="12">
        <f>-(Parameters!$C$9*Parameters!$C$10*Parameters!$C$5*Parameters!$C$11)</f>
        <v>-192000</v>
      </c>
      <c r="O115" s="11">
        <f t="shared" si="19"/>
        <v>-2304000</v>
      </c>
    </row>
    <row r="116" spans="2:15" s="1" customFormat="1" x14ac:dyDescent="0.3">
      <c r="B116" s="1" t="s">
        <v>25</v>
      </c>
      <c r="C116" s="19">
        <f>SUM(C109:C115)</f>
        <v>3062149.5000000009</v>
      </c>
      <c r="D116" s="19">
        <f t="shared" ref="D116:N116" si="22">SUM(D109:D115)</f>
        <v>2686079.9999999991</v>
      </c>
      <c r="E116" s="19">
        <f t="shared" si="22"/>
        <v>2848170</v>
      </c>
      <c r="F116" s="19">
        <f t="shared" si="22"/>
        <v>3008554.5</v>
      </c>
      <c r="G116" s="19">
        <f t="shared" si="22"/>
        <v>2846865</v>
      </c>
      <c r="H116" s="19">
        <f t="shared" si="22"/>
        <v>2776710.0000000009</v>
      </c>
      <c r="I116" s="19">
        <f t="shared" si="22"/>
        <v>2835277.5</v>
      </c>
      <c r="J116" s="19">
        <f t="shared" si="22"/>
        <v>2821597.4999999991</v>
      </c>
      <c r="K116" s="19">
        <f t="shared" si="22"/>
        <v>2474534.9999999991</v>
      </c>
      <c r="L116" s="19">
        <f t="shared" si="22"/>
        <v>3004999.5</v>
      </c>
      <c r="M116" s="19">
        <f t="shared" si="22"/>
        <v>2846865</v>
      </c>
      <c r="N116" s="19">
        <f t="shared" si="22"/>
        <v>2473004.9999999995</v>
      </c>
      <c r="O116" s="19">
        <f t="shared" si="19"/>
        <v>33684808.5</v>
      </c>
    </row>
    <row r="140" spans="3:14" x14ac:dyDescent="0.3">
      <c r="C140" s="9"/>
      <c r="D140" s="9"/>
      <c r="E140" s="9"/>
      <c r="F140" s="9"/>
      <c r="G140" s="9"/>
      <c r="H140" s="9"/>
      <c r="I140" s="9"/>
      <c r="J140" s="9"/>
      <c r="K140" s="9"/>
      <c r="L140" s="9"/>
      <c r="M140" s="9"/>
      <c r="N140" s="9"/>
    </row>
    <row r="141" spans="3:14" x14ac:dyDescent="0.3">
      <c r="C141" s="9"/>
      <c r="D141" s="9"/>
      <c r="E141" s="9"/>
      <c r="F141" s="9"/>
      <c r="G141" s="9"/>
      <c r="H141" s="9"/>
      <c r="I141" s="9"/>
      <c r="J141" s="9"/>
      <c r="K141" s="9"/>
      <c r="L141" s="9"/>
      <c r="M141" s="9"/>
      <c r="N141" s="9"/>
    </row>
    <row r="142" spans="3:14" x14ac:dyDescent="0.3">
      <c r="C142" s="9"/>
      <c r="D142" s="9"/>
      <c r="E142" s="9"/>
      <c r="F142" s="9"/>
      <c r="G142" s="9"/>
      <c r="H142" s="9"/>
      <c r="I142" s="9"/>
      <c r="J142" s="9"/>
      <c r="K142" s="9"/>
      <c r="L142" s="9"/>
      <c r="M142" s="9"/>
      <c r="N142" s="9"/>
    </row>
    <row r="143" spans="3:14" x14ac:dyDescent="0.3">
      <c r="C143" s="9"/>
      <c r="D143" s="9"/>
      <c r="E143" s="9"/>
      <c r="F143" s="9"/>
      <c r="G143" s="9"/>
      <c r="H143" s="9"/>
      <c r="I143" s="9"/>
      <c r="J143" s="9"/>
      <c r="K143" s="9"/>
      <c r="L143" s="9"/>
      <c r="M143" s="9"/>
      <c r="N143" s="9"/>
    </row>
    <row r="144" spans="3:14" x14ac:dyDescent="0.3">
      <c r="C144" s="6"/>
      <c r="D144" s="6"/>
      <c r="E144" s="6"/>
      <c r="F144" s="6"/>
      <c r="G144" s="6"/>
      <c r="H144" s="6"/>
      <c r="I144" s="6"/>
      <c r="J144" s="6"/>
      <c r="K144" s="6"/>
      <c r="L144" s="6"/>
      <c r="M144" s="6"/>
      <c r="N144" s="6"/>
    </row>
    <row r="145" spans="3:14" x14ac:dyDescent="0.3">
      <c r="C145" s="6"/>
    </row>
    <row r="146" spans="3:14" x14ac:dyDescent="0.3">
      <c r="C146" s="6"/>
    </row>
    <row r="148" spans="3:14" x14ac:dyDescent="0.3">
      <c r="C148" s="6"/>
      <c r="D148" s="6"/>
      <c r="E148" s="6"/>
      <c r="F148" s="6"/>
      <c r="G148" s="6"/>
      <c r="H148" s="6"/>
      <c r="I148" s="6"/>
      <c r="J148" s="6"/>
      <c r="K148" s="6"/>
      <c r="L148" s="6"/>
      <c r="M148" s="6"/>
      <c r="N148" s="6"/>
    </row>
    <row r="149" spans="3:14" x14ac:dyDescent="0.3">
      <c r="C149" s="6"/>
      <c r="D149" s="6"/>
      <c r="E149" s="6"/>
      <c r="F149" s="6"/>
      <c r="G149" s="6"/>
      <c r="H149" s="6"/>
      <c r="I149" s="6"/>
      <c r="J149" s="6"/>
      <c r="K149" s="6"/>
      <c r="L149" s="6"/>
      <c r="M149" s="6"/>
      <c r="N149" s="6"/>
    </row>
    <row r="150" spans="3:14" x14ac:dyDescent="0.3">
      <c r="C150" s="6"/>
      <c r="D150" s="6"/>
      <c r="E150" s="6"/>
      <c r="F150" s="6"/>
      <c r="G150" s="6"/>
      <c r="H150" s="6"/>
      <c r="I150" s="6"/>
      <c r="J150" s="6"/>
      <c r="K150" s="6"/>
      <c r="L150" s="6"/>
      <c r="M150" s="6"/>
      <c r="N150" s="6"/>
    </row>
    <row r="151" spans="3:14" x14ac:dyDescent="0.3">
      <c r="C151" s="6"/>
      <c r="D151" s="6"/>
      <c r="E151" s="6"/>
      <c r="F151" s="6"/>
      <c r="G151" s="6"/>
      <c r="H151" s="6"/>
      <c r="I151" s="6"/>
      <c r="J151" s="6"/>
      <c r="K151" s="6"/>
      <c r="L151" s="6"/>
      <c r="M151" s="6"/>
      <c r="N151" s="6"/>
    </row>
    <row r="152" spans="3:14" x14ac:dyDescent="0.3">
      <c r="C152" s="6"/>
      <c r="D152" s="6"/>
      <c r="E152" s="6"/>
      <c r="F152" s="6"/>
      <c r="G152" s="6"/>
      <c r="H152" s="6"/>
      <c r="I152" s="6"/>
      <c r="J152" s="6"/>
      <c r="K152" s="6"/>
      <c r="L152" s="6"/>
      <c r="M152" s="6"/>
      <c r="N152" s="6"/>
    </row>
    <row r="153" spans="3:14" x14ac:dyDescent="0.3">
      <c r="C153" s="6"/>
    </row>
    <row r="156" spans="3:14" x14ac:dyDescent="0.3">
      <c r="C156" s="6"/>
      <c r="D156" s="6"/>
      <c r="E156" s="6"/>
      <c r="F156" s="6"/>
      <c r="G156" s="6"/>
      <c r="H156" s="6"/>
      <c r="I156" s="6"/>
      <c r="J156" s="6"/>
      <c r="K156" s="6"/>
      <c r="L156" s="6"/>
      <c r="M156" s="6"/>
      <c r="N156" s="6"/>
    </row>
    <row r="160" spans="3:14" x14ac:dyDescent="0.3">
      <c r="C160" s="9"/>
      <c r="D160" s="9"/>
      <c r="E160" s="9"/>
      <c r="F160" s="9"/>
      <c r="G160" s="9"/>
      <c r="H160" s="9"/>
      <c r="I160" s="9"/>
      <c r="J160" s="9"/>
      <c r="K160" s="9"/>
      <c r="L160" s="9"/>
      <c r="M160" s="9"/>
      <c r="N160" s="9"/>
    </row>
    <row r="161" spans="3:14" x14ac:dyDescent="0.3">
      <c r="C161" s="9"/>
      <c r="D161" s="9"/>
      <c r="E161" s="9"/>
      <c r="F161" s="9"/>
      <c r="G161" s="9"/>
      <c r="H161" s="9"/>
      <c r="I161" s="9"/>
      <c r="J161" s="9"/>
      <c r="K161" s="9"/>
      <c r="L161" s="9"/>
      <c r="M161" s="9"/>
      <c r="N161" s="9"/>
    </row>
    <row r="162" spans="3:14" x14ac:dyDescent="0.3">
      <c r="C162" s="9"/>
      <c r="D162" s="9"/>
      <c r="E162" s="9"/>
      <c r="F162" s="9"/>
      <c r="G162" s="9"/>
      <c r="H162" s="9"/>
      <c r="I162" s="9"/>
      <c r="J162" s="9"/>
      <c r="K162" s="9"/>
      <c r="L162" s="9"/>
      <c r="M162" s="9"/>
      <c r="N162" s="9"/>
    </row>
    <row r="163" spans="3:14" x14ac:dyDescent="0.3">
      <c r="C163" s="9"/>
      <c r="D163" s="9"/>
      <c r="E163" s="9"/>
      <c r="F163" s="9"/>
      <c r="G163" s="9"/>
      <c r="H163" s="9"/>
      <c r="I163" s="9"/>
      <c r="J163" s="9"/>
      <c r="K163" s="9"/>
      <c r="L163" s="9"/>
      <c r="M163" s="9"/>
      <c r="N163" s="9"/>
    </row>
    <row r="164" spans="3:14" x14ac:dyDescent="0.3">
      <c r="C164" s="9"/>
      <c r="D164" s="9"/>
      <c r="E164" s="9"/>
      <c r="F164" s="9"/>
      <c r="G164" s="9"/>
      <c r="H164" s="9"/>
      <c r="I164" s="9"/>
      <c r="J164" s="9"/>
      <c r="K164" s="9"/>
      <c r="L164" s="9"/>
      <c r="M164" s="9"/>
      <c r="N164" s="9"/>
    </row>
    <row r="168" spans="3:14" x14ac:dyDescent="0.3">
      <c r="C168" s="9"/>
      <c r="D168" s="9"/>
      <c r="E168" s="9"/>
      <c r="F168" s="9"/>
      <c r="G168" s="9"/>
      <c r="H168" s="9"/>
      <c r="I168" s="9"/>
      <c r="J168" s="9"/>
      <c r="K168" s="9"/>
      <c r="L168" s="9"/>
      <c r="M168" s="9"/>
      <c r="N168" s="9"/>
    </row>
    <row r="169" spans="3:14" x14ac:dyDescent="0.3">
      <c r="C169" s="9"/>
      <c r="D169" s="9"/>
      <c r="E169" s="9"/>
      <c r="F169" s="9"/>
      <c r="G169" s="9"/>
      <c r="H169" s="9"/>
      <c r="I169" s="9"/>
      <c r="J169" s="9"/>
      <c r="K169" s="9"/>
      <c r="L169" s="9"/>
      <c r="M169" s="9"/>
      <c r="N169" s="9"/>
    </row>
    <row r="170" spans="3:14" x14ac:dyDescent="0.3">
      <c r="C170" s="9"/>
      <c r="D170" s="9"/>
      <c r="E170" s="9"/>
      <c r="F170" s="9"/>
      <c r="G170" s="9"/>
      <c r="H170" s="9"/>
      <c r="I170" s="9"/>
      <c r="J170" s="9"/>
      <c r="K170" s="9"/>
      <c r="L170" s="9"/>
      <c r="M170" s="9"/>
      <c r="N170" s="9"/>
    </row>
    <row r="171" spans="3:14" x14ac:dyDescent="0.3">
      <c r="C171" s="9"/>
      <c r="D171" s="9"/>
      <c r="E171" s="9"/>
      <c r="F171" s="9"/>
      <c r="G171" s="9"/>
      <c r="H171" s="9"/>
      <c r="I171" s="9"/>
      <c r="J171" s="9"/>
      <c r="K171" s="9"/>
      <c r="L171" s="9"/>
      <c r="M171" s="9"/>
      <c r="N171" s="9"/>
    </row>
    <row r="172" spans="3:14" x14ac:dyDescent="0.3">
      <c r="C172" s="6"/>
      <c r="D172" s="6"/>
      <c r="E172" s="6"/>
      <c r="F172" s="6"/>
      <c r="G172" s="6"/>
      <c r="H172" s="6"/>
      <c r="I172" s="6"/>
      <c r="J172" s="6"/>
      <c r="K172" s="6"/>
      <c r="L172" s="6"/>
      <c r="M172" s="6"/>
      <c r="N172" s="6"/>
    </row>
    <row r="175" spans="3:14" x14ac:dyDescent="0.3">
      <c r="C175" s="6"/>
      <c r="D175" s="6"/>
      <c r="E175" s="6"/>
      <c r="F175" s="6"/>
      <c r="G175" s="6"/>
      <c r="H175" s="6"/>
      <c r="I175" s="6"/>
      <c r="J175" s="6"/>
      <c r="K175" s="6"/>
      <c r="L175" s="6"/>
      <c r="M175" s="6"/>
      <c r="N175" s="6"/>
    </row>
    <row r="179" spans="3:14" x14ac:dyDescent="0.3">
      <c r="C179" s="9"/>
      <c r="D179" s="9"/>
      <c r="E179" s="9"/>
      <c r="F179" s="9"/>
      <c r="G179" s="9"/>
      <c r="H179" s="9"/>
      <c r="I179" s="9"/>
      <c r="J179" s="9"/>
      <c r="K179" s="9"/>
      <c r="L179" s="9"/>
      <c r="M179" s="9"/>
      <c r="N179" s="9"/>
    </row>
    <row r="180" spans="3:14" x14ac:dyDescent="0.3">
      <c r="C180" s="9"/>
      <c r="D180" s="9"/>
      <c r="E180" s="9"/>
      <c r="F180" s="9"/>
      <c r="G180" s="9"/>
      <c r="H180" s="9"/>
      <c r="I180" s="9"/>
      <c r="J180" s="9"/>
      <c r="K180" s="9"/>
      <c r="L180" s="9"/>
      <c r="M180" s="9"/>
      <c r="N180" s="9"/>
    </row>
    <row r="181" spans="3:14" x14ac:dyDescent="0.3">
      <c r="C181" s="9"/>
      <c r="D181" s="9"/>
      <c r="E181" s="9"/>
      <c r="F181" s="9"/>
      <c r="G181" s="9"/>
      <c r="H181" s="9"/>
      <c r="I181" s="9"/>
      <c r="J181" s="9"/>
      <c r="K181" s="9"/>
      <c r="L181" s="9"/>
      <c r="M181" s="9"/>
      <c r="N181" s="9"/>
    </row>
    <row r="182" spans="3:14" x14ac:dyDescent="0.3">
      <c r="C182" s="9"/>
      <c r="D182" s="9"/>
      <c r="E182" s="9"/>
      <c r="F182" s="9"/>
      <c r="G182" s="9"/>
      <c r="H182" s="9"/>
      <c r="I182" s="9"/>
      <c r="J182" s="9"/>
      <c r="K182" s="9"/>
      <c r="L182" s="9"/>
      <c r="M182" s="9"/>
      <c r="N182" s="9"/>
    </row>
    <row r="183" spans="3:14" x14ac:dyDescent="0.3">
      <c r="C183" s="9"/>
      <c r="D183" s="9"/>
      <c r="E183" s="9"/>
      <c r="F183" s="9"/>
      <c r="G183" s="9"/>
      <c r="H183" s="9"/>
      <c r="I183" s="9"/>
      <c r="J183" s="9"/>
      <c r="K183" s="9"/>
      <c r="L183" s="9"/>
      <c r="M183" s="9"/>
      <c r="N183" s="9"/>
    </row>
    <row r="187" spans="3:14" x14ac:dyDescent="0.3">
      <c r="C187" s="9"/>
      <c r="D187" s="9"/>
      <c r="E187" s="9"/>
      <c r="F187" s="9"/>
      <c r="G187" s="9"/>
      <c r="H187" s="9"/>
      <c r="I187" s="9"/>
      <c r="J187" s="9"/>
      <c r="K187" s="9"/>
      <c r="L187" s="9"/>
      <c r="M187" s="9"/>
      <c r="N187" s="9"/>
    </row>
    <row r="188" spans="3:14" x14ac:dyDescent="0.3">
      <c r="C188" s="9"/>
      <c r="D188" s="9"/>
      <c r="E188" s="9"/>
      <c r="F188" s="9"/>
      <c r="G188" s="9"/>
      <c r="H188" s="9"/>
      <c r="I188" s="9"/>
      <c r="J188" s="9"/>
      <c r="K188" s="9"/>
      <c r="L188" s="9"/>
      <c r="M188" s="9"/>
      <c r="N188" s="9"/>
    </row>
    <row r="189" spans="3:14" x14ac:dyDescent="0.3">
      <c r="C189" s="9"/>
      <c r="D189" s="9"/>
      <c r="E189" s="9"/>
      <c r="F189" s="9"/>
      <c r="G189" s="9"/>
      <c r="H189" s="9"/>
      <c r="I189" s="9"/>
      <c r="J189" s="9"/>
      <c r="K189" s="9"/>
      <c r="L189" s="9"/>
      <c r="M189" s="9"/>
      <c r="N189" s="9"/>
    </row>
    <row r="190" spans="3:14" x14ac:dyDescent="0.3">
      <c r="C190" s="9"/>
      <c r="D190" s="9"/>
      <c r="E190" s="9"/>
      <c r="F190" s="9"/>
      <c r="G190" s="9"/>
      <c r="H190" s="9"/>
      <c r="I190" s="9"/>
      <c r="J190" s="9"/>
      <c r="K190" s="9"/>
      <c r="L190" s="9"/>
      <c r="M190" s="9"/>
      <c r="N190" s="9"/>
    </row>
    <row r="191" spans="3:14" x14ac:dyDescent="0.3">
      <c r="C191" s="6"/>
      <c r="D191" s="6"/>
      <c r="E191" s="6"/>
      <c r="F191" s="6"/>
      <c r="G191" s="6"/>
      <c r="H191" s="6"/>
      <c r="I191" s="6"/>
      <c r="J191" s="6"/>
      <c r="K191" s="6"/>
      <c r="L191" s="6"/>
      <c r="M191" s="6"/>
      <c r="N191" s="6"/>
    </row>
    <row r="195" spans="3:14" x14ac:dyDescent="0.3">
      <c r="C195" s="6"/>
      <c r="D195" s="6"/>
      <c r="E195" s="6"/>
      <c r="F195" s="6"/>
      <c r="G195" s="6"/>
      <c r="H195" s="6"/>
      <c r="I195" s="6"/>
      <c r="J195" s="6"/>
      <c r="K195" s="6"/>
      <c r="L195" s="6"/>
      <c r="M195" s="6"/>
      <c r="N195" s="6"/>
    </row>
    <row r="196" spans="3:14" x14ac:dyDescent="0.3">
      <c r="C196" s="6"/>
      <c r="D196" s="6"/>
      <c r="E196" s="6"/>
      <c r="F196" s="6"/>
      <c r="G196" s="6"/>
      <c r="H196" s="6"/>
      <c r="I196" s="6"/>
      <c r="J196" s="6"/>
      <c r="K196" s="6"/>
      <c r="L196" s="6"/>
      <c r="M196" s="6"/>
      <c r="N196" s="6"/>
    </row>
    <row r="197" spans="3:14" x14ac:dyDescent="0.3">
      <c r="C197" s="6"/>
      <c r="D197" s="6"/>
      <c r="E197" s="6"/>
      <c r="F197" s="6"/>
      <c r="G197" s="6"/>
      <c r="H197" s="6"/>
      <c r="I197" s="6"/>
      <c r="J197" s="6"/>
      <c r="K197" s="6"/>
      <c r="L197" s="6"/>
      <c r="M197" s="6"/>
      <c r="N197" s="6"/>
    </row>
    <row r="198" spans="3:14" x14ac:dyDescent="0.3">
      <c r="C198" s="6"/>
      <c r="D198" s="6"/>
      <c r="E198" s="6"/>
      <c r="F198" s="6"/>
      <c r="G198" s="6"/>
      <c r="H198" s="6"/>
      <c r="I198" s="6"/>
      <c r="J198" s="6"/>
      <c r="K198" s="6"/>
      <c r="L198" s="6"/>
      <c r="M198" s="6"/>
      <c r="N198" s="6"/>
    </row>
    <row r="199" spans="3:14" x14ac:dyDescent="0.3">
      <c r="C199" s="9"/>
      <c r="D199" s="9"/>
      <c r="E199" s="9"/>
      <c r="F199" s="9"/>
      <c r="G199" s="9"/>
      <c r="H199" s="9"/>
      <c r="I199" s="9"/>
      <c r="J199" s="9"/>
      <c r="K199" s="9"/>
      <c r="L199" s="9"/>
      <c r="M199" s="9"/>
      <c r="N199" s="9"/>
    </row>
    <row r="203" spans="3:14" x14ac:dyDescent="0.3">
      <c r="C203" s="10"/>
      <c r="D203" s="10"/>
      <c r="E203" s="10"/>
      <c r="F203" s="10"/>
      <c r="G203" s="10"/>
      <c r="H203" s="10"/>
      <c r="I203" s="10"/>
      <c r="J203" s="10"/>
      <c r="K203" s="10"/>
      <c r="L203" s="10"/>
      <c r="M203" s="10"/>
      <c r="N203" s="10"/>
    </row>
    <row r="204" spans="3:14" x14ac:dyDescent="0.3">
      <c r="C204" s="10"/>
      <c r="D204" s="10"/>
      <c r="E204" s="10"/>
      <c r="F204" s="10"/>
      <c r="G204" s="10"/>
      <c r="H204" s="10"/>
      <c r="I204" s="10"/>
      <c r="J204" s="10"/>
      <c r="K204" s="10"/>
      <c r="L204" s="10"/>
      <c r="M204" s="10"/>
      <c r="N204" s="10"/>
    </row>
    <row r="205" spans="3:14" x14ac:dyDescent="0.3">
      <c r="C205" s="10"/>
      <c r="D205" s="10"/>
      <c r="E205" s="10"/>
      <c r="F205" s="10"/>
      <c r="G205" s="10"/>
      <c r="H205" s="10"/>
      <c r="I205" s="10"/>
      <c r="J205" s="10"/>
      <c r="K205" s="10"/>
      <c r="L205" s="10"/>
      <c r="M205" s="10"/>
      <c r="N205" s="10"/>
    </row>
    <row r="206" spans="3:14" x14ac:dyDescent="0.3">
      <c r="C206" s="10"/>
      <c r="D206" s="10"/>
      <c r="E206" s="10"/>
      <c r="F206" s="10"/>
      <c r="G206" s="10"/>
      <c r="H206" s="10"/>
      <c r="I206" s="10"/>
      <c r="J206" s="10"/>
      <c r="K206" s="10"/>
      <c r="L206" s="10"/>
      <c r="M206" s="10"/>
      <c r="N206" s="10"/>
    </row>
    <row r="210" spans="3:14" x14ac:dyDescent="0.3">
      <c r="C210" s="6"/>
      <c r="D210" s="6"/>
      <c r="E210" s="6"/>
      <c r="F210" s="6"/>
      <c r="G210" s="6"/>
      <c r="H210" s="6"/>
      <c r="I210" s="6"/>
      <c r="J210" s="6"/>
      <c r="K210" s="6"/>
      <c r="L210" s="6"/>
      <c r="M210" s="6"/>
      <c r="N210" s="6"/>
    </row>
    <row r="211" spans="3:14" x14ac:dyDescent="0.3">
      <c r="C211" s="6"/>
      <c r="D211" s="6"/>
      <c r="E211" s="6"/>
      <c r="F211" s="6"/>
      <c r="G211" s="6"/>
      <c r="H211" s="6"/>
      <c r="I211" s="6"/>
      <c r="J211" s="6"/>
      <c r="K211" s="6"/>
      <c r="L211" s="6"/>
      <c r="M211" s="6"/>
      <c r="N211" s="6"/>
    </row>
    <row r="212" spans="3:14" x14ac:dyDescent="0.3">
      <c r="C212" s="6"/>
      <c r="D212" s="6"/>
      <c r="E212" s="6"/>
      <c r="F212" s="6"/>
      <c r="G212" s="6"/>
      <c r="H212" s="6"/>
      <c r="I212" s="6"/>
      <c r="J212" s="6"/>
      <c r="K212" s="6"/>
      <c r="L212" s="6"/>
      <c r="M212" s="6"/>
      <c r="N212" s="6"/>
    </row>
    <row r="213" spans="3:14" x14ac:dyDescent="0.3">
      <c r="C213" s="6"/>
      <c r="D213" s="6"/>
      <c r="E213" s="6"/>
      <c r="F213" s="6"/>
      <c r="G213" s="6"/>
      <c r="H213" s="6"/>
      <c r="I213" s="6"/>
      <c r="J213" s="6"/>
      <c r="K213" s="6"/>
      <c r="L213" s="6"/>
      <c r="M213" s="6"/>
      <c r="N213" s="6"/>
    </row>
    <row r="214" spans="3:14" x14ac:dyDescent="0.3">
      <c r="C214" s="6"/>
      <c r="D214" s="6"/>
      <c r="E214" s="6"/>
      <c r="F214" s="6"/>
      <c r="G214" s="6"/>
      <c r="H214" s="6"/>
      <c r="I214" s="6"/>
      <c r="J214" s="6"/>
      <c r="K214" s="6"/>
      <c r="L214" s="6"/>
      <c r="M214" s="6"/>
      <c r="N214" s="6"/>
    </row>
    <row r="217" spans="3:14" x14ac:dyDescent="0.3">
      <c r="C217" s="9"/>
      <c r="D217" s="9"/>
      <c r="E217" s="9"/>
      <c r="F217" s="9"/>
      <c r="G217" s="9"/>
      <c r="H217" s="9"/>
      <c r="I217" s="9"/>
      <c r="J217" s="9"/>
      <c r="K217" s="9"/>
      <c r="L217" s="9"/>
      <c r="M217" s="9"/>
      <c r="N217" s="9"/>
    </row>
    <row r="221" spans="3:14" x14ac:dyDescent="0.3">
      <c r="C221" s="9"/>
      <c r="D221" s="9"/>
      <c r="E221" s="9"/>
      <c r="F221" s="9"/>
      <c r="G221" s="9"/>
      <c r="H221" s="9"/>
      <c r="I221" s="9"/>
      <c r="J221" s="9"/>
      <c r="K221" s="9"/>
      <c r="L221" s="9"/>
      <c r="M221" s="9"/>
      <c r="N221" s="9"/>
    </row>
    <row r="222" spans="3:14" x14ac:dyDescent="0.3">
      <c r="C222" s="6"/>
      <c r="D222" s="6"/>
      <c r="E222" s="6"/>
      <c r="F222" s="6"/>
      <c r="G222" s="6"/>
      <c r="H222" s="6"/>
      <c r="I222" s="6"/>
      <c r="J222" s="6"/>
      <c r="K222" s="6"/>
      <c r="L222" s="6"/>
      <c r="M222" s="6"/>
      <c r="N222" s="6"/>
    </row>
    <row r="225" spans="3:15" x14ac:dyDescent="0.3">
      <c r="C225" s="6"/>
      <c r="D225" s="6"/>
      <c r="E225" s="6"/>
      <c r="F225" s="6"/>
      <c r="G225" s="6"/>
      <c r="H225" s="6"/>
      <c r="I225" s="6"/>
      <c r="J225" s="6"/>
      <c r="K225" s="6"/>
      <c r="L225" s="6"/>
      <c r="M225" s="6"/>
      <c r="N225" s="6"/>
      <c r="O225" s="6"/>
    </row>
    <row r="226" spans="3:15" x14ac:dyDescent="0.3">
      <c r="O226" s="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04AF-0AEC-4341-BFD9-7446D56E3B87}">
  <sheetPr codeName="Sheet5"/>
  <dimension ref="B1:P226"/>
  <sheetViews>
    <sheetView zoomScale="85" zoomScaleNormal="85" workbookViewId="0"/>
  </sheetViews>
  <sheetFormatPr defaultColWidth="9.109375" defaultRowHeight="14.4" x14ac:dyDescent="0.3"/>
  <cols>
    <col min="1" max="1" width="3.33203125" customWidth="1"/>
    <col min="2" max="2" width="22.6640625" customWidth="1"/>
    <col min="3" max="8" width="21.44140625" bestFit="1" customWidth="1"/>
    <col min="9" max="12" width="26.88671875" bestFit="1" customWidth="1"/>
    <col min="13" max="14" width="21.44140625" bestFit="1" customWidth="1"/>
    <col min="15" max="15" width="14.44140625" bestFit="1" customWidth="1"/>
    <col min="16" max="26" width="10.5546875" bestFit="1" customWidth="1"/>
  </cols>
  <sheetData>
    <row r="1" spans="2:16" x14ac:dyDescent="0.3">
      <c r="B1" s="1" t="s">
        <v>103</v>
      </c>
    </row>
    <row r="5" spans="2:16" x14ac:dyDescent="0.3">
      <c r="B5" s="1" t="s">
        <v>61</v>
      </c>
    </row>
    <row r="6" spans="2:16" x14ac:dyDescent="0.3">
      <c r="B6" s="23" t="s">
        <v>60</v>
      </c>
      <c r="C6" t="s">
        <v>1</v>
      </c>
      <c r="D6" t="s">
        <v>2</v>
      </c>
      <c r="E6" t="s">
        <v>3</v>
      </c>
      <c r="F6" t="s">
        <v>4</v>
      </c>
      <c r="G6" t="s">
        <v>5</v>
      </c>
      <c r="H6" t="s">
        <v>6</v>
      </c>
      <c r="I6" t="s">
        <v>7</v>
      </c>
      <c r="J6" t="s">
        <v>8</v>
      </c>
      <c r="K6" t="s">
        <v>9</v>
      </c>
      <c r="L6" t="s">
        <v>10</v>
      </c>
      <c r="M6" t="s">
        <v>11</v>
      </c>
      <c r="N6" t="s">
        <v>12</v>
      </c>
    </row>
    <row r="7" spans="2:16" x14ac:dyDescent="0.3">
      <c r="B7" s="23">
        <f>Data_checks!$B6</f>
        <v>1</v>
      </c>
      <c r="C7" t="str">
        <f>Data_checks!D6</f>
        <v>Major 1</v>
      </c>
      <c r="D7" t="str">
        <f>Data_checks!E6</f>
        <v>Major 1</v>
      </c>
      <c r="E7" t="str">
        <f>Data_checks!F6</f>
        <v>Regular 3</v>
      </c>
      <c r="F7" t="str">
        <f>Data_checks!G6</f>
        <v>Major 2</v>
      </c>
      <c r="G7" t="str">
        <f>Data_checks!H6</f>
        <v>Major 2</v>
      </c>
      <c r="H7" t="str">
        <f>Data_checks!I6</f>
        <v>Regular 6</v>
      </c>
      <c r="I7" t="str">
        <f>Data_checks!J6</f>
        <v>Epic 1</v>
      </c>
      <c r="J7" t="str">
        <f>Data_checks!K6</f>
        <v>Epic 1</v>
      </c>
      <c r="K7" t="str">
        <f>Data_checks!L6</f>
        <v>Regular 7</v>
      </c>
      <c r="L7" t="str">
        <f>Data_checks!M6</f>
        <v>Major</v>
      </c>
      <c r="M7" t="str">
        <f>Data_checks!N6</f>
        <v>Major 3</v>
      </c>
      <c r="N7" t="str">
        <f>Data_checks!O6</f>
        <v>Regular 10</v>
      </c>
    </row>
    <row r="8" spans="2:16" x14ac:dyDescent="0.3">
      <c r="B8" s="23">
        <f>Data_checks!$B7</f>
        <v>2</v>
      </c>
      <c r="C8" t="str">
        <f>Data_checks!D7</f>
        <v>Major 1</v>
      </c>
      <c r="D8" t="str">
        <f>Data_checks!E7</f>
        <v>Regular 1</v>
      </c>
      <c r="E8" t="str">
        <f>Data_checks!F7</f>
        <v>Major 1</v>
      </c>
      <c r="F8" t="str">
        <f>Data_checks!G7</f>
        <v>Major 2</v>
      </c>
      <c r="G8" t="str">
        <f>Data_checks!H7</f>
        <v>Regular 5</v>
      </c>
      <c r="H8" t="str">
        <f>Data_checks!I7</f>
        <v>Major 2</v>
      </c>
      <c r="I8" t="str">
        <f>Data_checks!J7</f>
        <v>Epic 1</v>
      </c>
      <c r="J8" t="str">
        <f>Data_checks!K7</f>
        <v>Epic 1</v>
      </c>
      <c r="K8" t="str">
        <f>Data_checks!L7</f>
        <v>Epic 1</v>
      </c>
      <c r="L8" t="str">
        <f>Data_checks!M7</f>
        <v>Major 3</v>
      </c>
      <c r="M8" t="str">
        <f>Data_checks!N7</f>
        <v>Regular 10</v>
      </c>
      <c r="N8" t="str">
        <f>Data_checks!O7</f>
        <v>Major 3</v>
      </c>
    </row>
    <row r="9" spans="2:16" x14ac:dyDescent="0.3">
      <c r="B9" s="23">
        <f>Data_checks!$B8</f>
        <v>3</v>
      </c>
      <c r="C9" t="str">
        <f>Data_checks!D8</f>
        <v>Regular 1</v>
      </c>
      <c r="D9" t="str">
        <f>Data_checks!E8</f>
        <v>Regular 2</v>
      </c>
      <c r="E9" t="str">
        <f>Data_checks!F8</f>
        <v>Regular 3</v>
      </c>
      <c r="F9" t="str">
        <f>Data_checks!G8</f>
        <v>Regular 4</v>
      </c>
      <c r="G9" t="str">
        <f>Data_checks!H8</f>
        <v>Regular 4</v>
      </c>
      <c r="H9" t="str">
        <f>Data_checks!I8</f>
        <v>Regular 5</v>
      </c>
      <c r="I9" t="str">
        <f>Data_checks!J8</f>
        <v>Epic 1</v>
      </c>
      <c r="J9" t="str">
        <f>Data_checks!K8</f>
        <v>Regular 7</v>
      </c>
      <c r="K9" t="str">
        <f>Data_checks!L8</f>
        <v>Epic 1</v>
      </c>
      <c r="L9" t="str">
        <f>Data_checks!M8</f>
        <v>Epic 1</v>
      </c>
      <c r="M9" t="str">
        <f>Data_checks!N8</f>
        <v>Regular 9</v>
      </c>
      <c r="N9" t="str">
        <f>Data_checks!O8</f>
        <v>Regular 10</v>
      </c>
    </row>
    <row r="10" spans="2:16" x14ac:dyDescent="0.3">
      <c r="B10" s="23">
        <f>Data_checks!$B9</f>
        <v>4</v>
      </c>
      <c r="C10" t="str">
        <f>Data_checks!D9</f>
        <v>Regular 2</v>
      </c>
      <c r="D10" t="str">
        <f>Data_checks!E9</f>
        <v>Regular 2</v>
      </c>
      <c r="E10" t="str">
        <f>Data_checks!F9</f>
        <v>Regular 1</v>
      </c>
      <c r="F10" t="str">
        <f>Data_checks!G9</f>
        <v>Regular 3</v>
      </c>
      <c r="G10" t="str">
        <f>Data_checks!H9</f>
        <v>Regular 4</v>
      </c>
      <c r="H10" t="str">
        <f>Data_checks!I9</f>
        <v>Regular 4</v>
      </c>
      <c r="I10" t="str">
        <f>Data_checks!J9</f>
        <v>Regular 6</v>
      </c>
      <c r="J10" t="str">
        <f>Data_checks!K9</f>
        <v>Regular 8</v>
      </c>
      <c r="K10" t="str">
        <f>Data_checks!L9</f>
        <v>Regular 8</v>
      </c>
      <c r="L10" t="str">
        <f>Data_checks!M9</f>
        <v>Regular 9</v>
      </c>
      <c r="M10" t="str">
        <f>Data_checks!N9</f>
        <v>Regular 9</v>
      </c>
      <c r="N10" t="str">
        <f>Data_checks!O9</f>
        <v>Regular 9</v>
      </c>
    </row>
    <row r="12" spans="2:16" x14ac:dyDescent="0.3">
      <c r="B12" s="1" t="s">
        <v>54</v>
      </c>
    </row>
    <row r="13" spans="2:16" x14ac:dyDescent="0.3">
      <c r="B13" s="23" t="s">
        <v>60</v>
      </c>
      <c r="C13" s="22" t="str">
        <f>C6</f>
        <v>Jan</v>
      </c>
      <c r="D13" s="22" t="str">
        <f t="shared" ref="D13:N13" si="0">D6</f>
        <v>Feb</v>
      </c>
      <c r="E13" s="22" t="str">
        <f t="shared" si="0"/>
        <v>Mar</v>
      </c>
      <c r="F13" s="22" t="str">
        <f t="shared" si="0"/>
        <v>Apr</v>
      </c>
      <c r="G13" s="22" t="str">
        <f t="shared" si="0"/>
        <v>May</v>
      </c>
      <c r="H13" s="22" t="str">
        <f t="shared" si="0"/>
        <v>Jun</v>
      </c>
      <c r="I13" s="22" t="str">
        <f t="shared" si="0"/>
        <v>Jul</v>
      </c>
      <c r="J13" s="22" t="str">
        <f t="shared" si="0"/>
        <v>Aug</v>
      </c>
      <c r="K13" s="22" t="str">
        <f t="shared" si="0"/>
        <v>Sep</v>
      </c>
      <c r="L13" s="22" t="str">
        <f t="shared" si="0"/>
        <v>Oct</v>
      </c>
      <c r="M13" s="22" t="str">
        <f t="shared" si="0"/>
        <v>Nov</v>
      </c>
      <c r="N13" s="22" t="str">
        <f t="shared" si="0"/>
        <v>Dec</v>
      </c>
      <c r="O13" s="22"/>
      <c r="P13" s="22"/>
    </row>
    <row r="14" spans="2:16" x14ac:dyDescent="0.3">
      <c r="B14" s="23">
        <f>B7</f>
        <v>1</v>
      </c>
      <c r="C14" s="21">
        <v>1</v>
      </c>
      <c r="D14">
        <f>IF(COUNTIF(C$7:C$10,D7)&gt;0,1,0)+IF(COUNTIF(B$7:B$10,D7)&gt;0,1,0)+IF(COUNTIF(A$7:A$10,D7)&gt;0,1,0)+1</f>
        <v>2</v>
      </c>
      <c r="E14">
        <f>IF(COUNTIF(D$7:D$10,E7)&gt;0,1,0)+IF(COUNTIF(C$7:C$10,E7)&gt;0,1,0)+IF(COUNTIF(B$7:B$10,E7)&gt;0,1,0)+1</f>
        <v>1</v>
      </c>
      <c r="F14">
        <f>IF(COUNTIF(E$7:E$10,F7)&gt;0,1,0)+IF(COUNTIF(D$7:D$10,F7)&gt;0,1,0)+IF(COUNTIF(C$7:C$10,F7)&gt;0,1,0)+1</f>
        <v>1</v>
      </c>
      <c r="G14">
        <f t="shared" ref="D14:N17" si="1">IF(COUNTIF(F$7:F$10,G7)&gt;0,1,0)+IF(COUNTIF(E$7:E$10,G7)&gt;0,1,0)+IF(COUNTIF(D$7:D$10,G7)&gt;0,1,0)+1</f>
        <v>2</v>
      </c>
      <c r="H14">
        <f>IF(COUNTIF(G$7:G$10,H7)&gt;0,1,0)+IF(COUNTIF(F$7:F$10,H7)&gt;0,1,0)+IF(COUNTIF(E$7:E$10,H7)&gt;0,1,0)+1</f>
        <v>1</v>
      </c>
      <c r="I14">
        <f t="shared" si="1"/>
        <v>1</v>
      </c>
      <c r="J14">
        <f t="shared" si="1"/>
        <v>2</v>
      </c>
      <c r="K14">
        <f t="shared" si="1"/>
        <v>2</v>
      </c>
      <c r="L14">
        <f t="shared" si="1"/>
        <v>1</v>
      </c>
      <c r="M14">
        <f t="shared" si="1"/>
        <v>2</v>
      </c>
      <c r="N14">
        <f t="shared" si="1"/>
        <v>2</v>
      </c>
    </row>
    <row r="15" spans="2:16" x14ac:dyDescent="0.3">
      <c r="B15" s="23">
        <f>B8</f>
        <v>2</v>
      </c>
      <c r="C15" s="21">
        <v>1</v>
      </c>
      <c r="D15">
        <f t="shared" si="1"/>
        <v>2</v>
      </c>
      <c r="E15">
        <f t="shared" si="1"/>
        <v>3</v>
      </c>
      <c r="F15">
        <f t="shared" si="1"/>
        <v>1</v>
      </c>
      <c r="G15">
        <f t="shared" si="1"/>
        <v>1</v>
      </c>
      <c r="H15">
        <f t="shared" si="1"/>
        <v>3</v>
      </c>
      <c r="I15">
        <f t="shared" si="1"/>
        <v>1</v>
      </c>
      <c r="J15">
        <f t="shared" si="1"/>
        <v>2</v>
      </c>
      <c r="K15">
        <f t="shared" si="1"/>
        <v>3</v>
      </c>
      <c r="L15">
        <f t="shared" si="1"/>
        <v>1</v>
      </c>
      <c r="M15">
        <f t="shared" si="1"/>
        <v>1</v>
      </c>
      <c r="N15">
        <f t="shared" si="1"/>
        <v>3</v>
      </c>
    </row>
    <row r="16" spans="2:16" x14ac:dyDescent="0.3">
      <c r="B16" s="23">
        <f>B9</f>
        <v>3</v>
      </c>
      <c r="C16" s="21">
        <v>1</v>
      </c>
      <c r="D16">
        <f t="shared" si="1"/>
        <v>2</v>
      </c>
      <c r="E16">
        <f t="shared" si="1"/>
        <v>1</v>
      </c>
      <c r="F16">
        <f t="shared" si="1"/>
        <v>1</v>
      </c>
      <c r="G16">
        <f t="shared" si="1"/>
        <v>2</v>
      </c>
      <c r="H16">
        <f t="shared" si="1"/>
        <v>2</v>
      </c>
      <c r="I16">
        <f t="shared" si="1"/>
        <v>1</v>
      </c>
      <c r="J16">
        <f t="shared" si="1"/>
        <v>1</v>
      </c>
      <c r="K16">
        <f t="shared" si="1"/>
        <v>3</v>
      </c>
      <c r="L16">
        <f t="shared" si="1"/>
        <v>4</v>
      </c>
      <c r="M16">
        <f t="shared" si="1"/>
        <v>2</v>
      </c>
      <c r="N16">
        <f t="shared" si="1"/>
        <v>2</v>
      </c>
    </row>
    <row r="17" spans="2:16" x14ac:dyDescent="0.3">
      <c r="B17" s="23">
        <f>B10</f>
        <v>4</v>
      </c>
      <c r="C17" s="21">
        <v>1</v>
      </c>
      <c r="D17">
        <f t="shared" si="1"/>
        <v>2</v>
      </c>
      <c r="E17">
        <f t="shared" si="1"/>
        <v>3</v>
      </c>
      <c r="F17">
        <f t="shared" si="1"/>
        <v>2</v>
      </c>
      <c r="G17">
        <f t="shared" si="1"/>
        <v>2</v>
      </c>
      <c r="H17">
        <f t="shared" si="1"/>
        <v>3</v>
      </c>
      <c r="I17">
        <f t="shared" si="1"/>
        <v>2</v>
      </c>
      <c r="J17">
        <f t="shared" si="1"/>
        <v>1</v>
      </c>
      <c r="K17">
        <f t="shared" si="1"/>
        <v>2</v>
      </c>
      <c r="L17">
        <f t="shared" si="1"/>
        <v>1</v>
      </c>
      <c r="M17">
        <f t="shared" si="1"/>
        <v>2</v>
      </c>
      <c r="N17">
        <f t="shared" si="1"/>
        <v>3</v>
      </c>
    </row>
    <row r="19" spans="2:16" x14ac:dyDescent="0.3">
      <c r="B19" s="1" t="s">
        <v>68</v>
      </c>
    </row>
    <row r="20" spans="2:16" x14ac:dyDescent="0.3">
      <c r="B20" s="23" t="s">
        <v>60</v>
      </c>
      <c r="C20" s="22" t="str">
        <f>C13</f>
        <v>Jan</v>
      </c>
      <c r="D20" s="22" t="str">
        <f t="shared" ref="D20:N20" si="2">D13</f>
        <v>Feb</v>
      </c>
      <c r="E20" s="22" t="str">
        <f t="shared" si="2"/>
        <v>Mar</v>
      </c>
      <c r="F20" s="22" t="str">
        <f t="shared" si="2"/>
        <v>Apr</v>
      </c>
      <c r="G20" s="22" t="str">
        <f t="shared" si="2"/>
        <v>May</v>
      </c>
      <c r="H20" s="22" t="str">
        <f t="shared" si="2"/>
        <v>Jun</v>
      </c>
      <c r="I20" s="22" t="str">
        <f t="shared" si="2"/>
        <v>Jul</v>
      </c>
      <c r="J20" s="22" t="str">
        <f t="shared" si="2"/>
        <v>Aug</v>
      </c>
      <c r="K20" s="22" t="str">
        <f t="shared" si="2"/>
        <v>Sep</v>
      </c>
      <c r="L20" s="22" t="str">
        <f t="shared" si="2"/>
        <v>Oct</v>
      </c>
      <c r="M20" s="22" t="str">
        <f t="shared" si="2"/>
        <v>Nov</v>
      </c>
      <c r="N20" s="22" t="str">
        <f t="shared" si="2"/>
        <v>Dec</v>
      </c>
    </row>
    <row r="21" spans="2:16" x14ac:dyDescent="0.3">
      <c r="B21" s="23">
        <f>B14</f>
        <v>1</v>
      </c>
      <c r="C21" s="10">
        <f>INDEX(Data_checks!$C$31:$E$34,MATCH(C14,Data_checks!$B$31:$B$34,0),MATCH(LEFT(C7,1),Data_checks!$C$30:$E$30,0))</f>
        <v>0.93</v>
      </c>
      <c r="D21" s="10">
        <f>INDEX(Data_checks!$C$31:$E$34,MATCH(D14,Data_checks!$B$31:$B$34,0),MATCH(LEFT(D7,1),Data_checks!$C$30:$E$30,0))</f>
        <v>0.8</v>
      </c>
      <c r="E21" s="10">
        <f>INDEX(Data_checks!$C$31:$E$34,MATCH(E14,Data_checks!$B$31:$B$34,0),MATCH(LEFT(E7,1),Data_checks!$C$30:$E$30,0))</f>
        <v>0.85</v>
      </c>
      <c r="F21" s="10">
        <f>INDEX(Data_checks!$C$31:$E$34,MATCH(F14,Data_checks!$B$31:$B$34,0),MATCH(LEFT(F7,1),Data_checks!$C$30:$E$30,0))</f>
        <v>0.93</v>
      </c>
      <c r="G21" s="10">
        <f>INDEX(Data_checks!$C$31:$E$34,MATCH(G14,Data_checks!$B$31:$B$34,0),MATCH(LEFT(G7,1),Data_checks!$C$30:$E$30,0))</f>
        <v>0.8</v>
      </c>
      <c r="H21" s="10">
        <f>INDEX(Data_checks!$C$31:$E$34,MATCH(H14,Data_checks!$B$31:$B$34,0),MATCH(LEFT(H7,1),Data_checks!$C$30:$E$30,0))</f>
        <v>0.85</v>
      </c>
      <c r="I21" s="10">
        <f>INDEX(Data_checks!$C$31:$E$34,MATCH(I14,Data_checks!$B$31:$B$34,0),MATCH(LEFT(I7,1),Data_checks!$C$30:$E$30,0))</f>
        <v>0.98</v>
      </c>
      <c r="J21" s="10">
        <f>INDEX(Data_checks!$C$31:$E$34,MATCH(J14,Data_checks!$B$31:$B$34,0),MATCH(LEFT(J7,1),Data_checks!$C$30:$E$30,0))</f>
        <v>0.85</v>
      </c>
      <c r="K21" s="10">
        <f>INDEX(Data_checks!$C$31:$E$34,MATCH(K14,Data_checks!$B$31:$B$34,0),MATCH(LEFT(K7,1),Data_checks!$C$30:$E$30,0))</f>
        <v>0.65</v>
      </c>
      <c r="L21" s="10">
        <f>INDEX(Data_checks!$C$31:$E$34,MATCH(L14,Data_checks!$B$31:$B$34,0),MATCH(LEFT(L7,1),Data_checks!$C$30:$E$30,0))</f>
        <v>0.93</v>
      </c>
      <c r="M21" s="10">
        <f>INDEX(Data_checks!$C$31:$E$34,MATCH(M14,Data_checks!$B$31:$B$34,0),MATCH(LEFT(M7,1),Data_checks!$C$30:$E$30,0))</f>
        <v>0.8</v>
      </c>
      <c r="N21" s="10">
        <f>INDEX(Data_checks!$C$31:$E$34,MATCH(N14,Data_checks!$B$31:$B$34,0),MATCH(LEFT(N7,1),Data_checks!$C$30:$E$30,0))</f>
        <v>0.65</v>
      </c>
    </row>
    <row r="22" spans="2:16" x14ac:dyDescent="0.3">
      <c r="B22" s="23">
        <f t="shared" ref="B22:B24" si="3">B15</f>
        <v>2</v>
      </c>
      <c r="C22" s="10">
        <f>INDEX(Data_checks!$C$31:$E$34,MATCH(C15,Data_checks!$B$31:$B$34,0),MATCH(LEFT(C8,1),Data_checks!$C$30:$E$30,0))</f>
        <v>0.93</v>
      </c>
      <c r="D22" s="10">
        <f>INDEX(Data_checks!$C$31:$E$34,MATCH(D15,Data_checks!$B$31:$B$34,0),MATCH(LEFT(D8,1),Data_checks!$C$30:$E$30,0))</f>
        <v>0.65</v>
      </c>
      <c r="E22" s="10">
        <f>INDEX(Data_checks!$C$31:$E$34,MATCH(E15,Data_checks!$B$31:$B$34,0),MATCH(LEFT(E8,1),Data_checks!$C$30:$E$30,0))</f>
        <v>0.65</v>
      </c>
      <c r="F22" s="10">
        <f>INDEX(Data_checks!$C$31:$E$34,MATCH(F15,Data_checks!$B$31:$B$34,0),MATCH(LEFT(F8,1),Data_checks!$C$30:$E$30,0))</f>
        <v>0.93</v>
      </c>
      <c r="G22" s="10">
        <f>INDEX(Data_checks!$C$31:$E$34,MATCH(G15,Data_checks!$B$31:$B$34,0),MATCH(LEFT(G8,1),Data_checks!$C$30:$E$30,0))</f>
        <v>0.85</v>
      </c>
      <c r="H22" s="10">
        <f>INDEX(Data_checks!$C$31:$E$34,MATCH(H15,Data_checks!$B$31:$B$34,0),MATCH(LEFT(H8,1),Data_checks!$C$30:$E$30,0))</f>
        <v>0.65</v>
      </c>
      <c r="I22" s="10">
        <f>INDEX(Data_checks!$C$31:$E$34,MATCH(I15,Data_checks!$B$31:$B$34,0),MATCH(LEFT(I8,1),Data_checks!$C$30:$E$30,0))</f>
        <v>0.98</v>
      </c>
      <c r="J22" s="10">
        <f>INDEX(Data_checks!$C$31:$E$34,MATCH(J15,Data_checks!$B$31:$B$34,0),MATCH(LEFT(J8,1),Data_checks!$C$30:$E$30,0))</f>
        <v>0.85</v>
      </c>
      <c r="K22" s="10">
        <f>INDEX(Data_checks!$C$31:$E$34,MATCH(K15,Data_checks!$B$31:$B$34,0),MATCH(LEFT(K8,1),Data_checks!$C$30:$E$30,0))</f>
        <v>0.7</v>
      </c>
      <c r="L22" s="10">
        <f>INDEX(Data_checks!$C$31:$E$34,MATCH(L15,Data_checks!$B$31:$B$34,0),MATCH(LEFT(L8,1),Data_checks!$C$30:$E$30,0))</f>
        <v>0.93</v>
      </c>
      <c r="M22" s="10">
        <f>INDEX(Data_checks!$C$31:$E$34,MATCH(M15,Data_checks!$B$31:$B$34,0),MATCH(LEFT(M8,1),Data_checks!$C$30:$E$30,0))</f>
        <v>0.85</v>
      </c>
      <c r="N22" s="10">
        <f>INDEX(Data_checks!$C$31:$E$34,MATCH(N15,Data_checks!$B$31:$B$34,0),MATCH(LEFT(N8,1),Data_checks!$C$30:$E$30,0))</f>
        <v>0.65</v>
      </c>
    </row>
    <row r="23" spans="2:16" x14ac:dyDescent="0.3">
      <c r="B23" s="23">
        <f t="shared" si="3"/>
        <v>3</v>
      </c>
      <c r="C23" s="10">
        <f>INDEX(Data_checks!$C$31:$E$34,MATCH(C16,Data_checks!$B$31:$B$34,0),MATCH(LEFT(C9,1),Data_checks!$C$30:$E$30,0))</f>
        <v>0.85</v>
      </c>
      <c r="D23" s="10">
        <f>INDEX(Data_checks!$C$31:$E$34,MATCH(D16,Data_checks!$B$31:$B$34,0),MATCH(LEFT(D9,1),Data_checks!$C$30:$E$30,0))</f>
        <v>0.65</v>
      </c>
      <c r="E23" s="10">
        <f>INDEX(Data_checks!$C$31:$E$34,MATCH(E16,Data_checks!$B$31:$B$34,0),MATCH(LEFT(E9,1),Data_checks!$C$30:$E$30,0))</f>
        <v>0.85</v>
      </c>
      <c r="F23" s="10">
        <f>INDEX(Data_checks!$C$31:$E$34,MATCH(F16,Data_checks!$B$31:$B$34,0),MATCH(LEFT(F9,1),Data_checks!$C$30:$E$30,0))</f>
        <v>0.85</v>
      </c>
      <c r="G23" s="10">
        <f>INDEX(Data_checks!$C$31:$E$34,MATCH(G16,Data_checks!$B$31:$B$34,0),MATCH(LEFT(G9,1),Data_checks!$C$30:$E$30,0))</f>
        <v>0.65</v>
      </c>
      <c r="H23" s="10">
        <f>INDEX(Data_checks!$C$31:$E$34,MATCH(H16,Data_checks!$B$31:$B$34,0),MATCH(LEFT(H9,1),Data_checks!$C$30:$E$30,0))</f>
        <v>0.65</v>
      </c>
      <c r="I23" s="10">
        <f>INDEX(Data_checks!$C$31:$E$34,MATCH(I16,Data_checks!$B$31:$B$34,0),MATCH(LEFT(I9,1),Data_checks!$C$30:$E$30,0))</f>
        <v>0.98</v>
      </c>
      <c r="J23" s="10">
        <f>INDEX(Data_checks!$C$31:$E$34,MATCH(J16,Data_checks!$B$31:$B$34,0),MATCH(LEFT(J9,1),Data_checks!$C$30:$E$30,0))</f>
        <v>0.85</v>
      </c>
      <c r="K23" s="10">
        <f>INDEX(Data_checks!$C$31:$E$34,MATCH(K16,Data_checks!$B$31:$B$34,0),MATCH(LEFT(K9,1),Data_checks!$C$30:$E$30,0))</f>
        <v>0.7</v>
      </c>
      <c r="L23" s="10">
        <f>INDEX(Data_checks!$C$31:$E$34,MATCH(L16,Data_checks!$B$31:$B$34,0),MATCH(LEFT(L9,1),Data_checks!$C$30:$E$30,0))</f>
        <v>0.6</v>
      </c>
      <c r="M23" s="10">
        <f>INDEX(Data_checks!$C$31:$E$34,MATCH(M16,Data_checks!$B$31:$B$34,0),MATCH(LEFT(M9,1),Data_checks!$C$30:$E$30,0))</f>
        <v>0.65</v>
      </c>
      <c r="N23" s="10">
        <f>INDEX(Data_checks!$C$31:$E$34,MATCH(N16,Data_checks!$B$31:$B$34,0),MATCH(LEFT(N9,1),Data_checks!$C$30:$E$30,0))</f>
        <v>0.65</v>
      </c>
    </row>
    <row r="24" spans="2:16" x14ac:dyDescent="0.3">
      <c r="B24" s="23">
        <f t="shared" si="3"/>
        <v>4</v>
      </c>
      <c r="C24" s="10">
        <f>INDEX(Data_checks!$C$31:$E$34,MATCH(C17,Data_checks!$B$31:$B$34,0),MATCH(LEFT(C10,1),Data_checks!$C$30:$E$30,0))</f>
        <v>0.85</v>
      </c>
      <c r="D24" s="10">
        <f>INDEX(Data_checks!$C$31:$E$34,MATCH(D17,Data_checks!$B$31:$B$34,0),MATCH(LEFT(D10,1),Data_checks!$C$30:$E$30,0))</f>
        <v>0.65</v>
      </c>
      <c r="E24" s="10">
        <f>INDEX(Data_checks!$C$31:$E$34,MATCH(E17,Data_checks!$B$31:$B$34,0),MATCH(LEFT(E10,1),Data_checks!$C$30:$E$30,0))</f>
        <v>0.45</v>
      </c>
      <c r="F24" s="10">
        <f>INDEX(Data_checks!$C$31:$E$34,MATCH(F17,Data_checks!$B$31:$B$34,0),MATCH(LEFT(F10,1),Data_checks!$C$30:$E$30,0))</f>
        <v>0.65</v>
      </c>
      <c r="G24" s="10">
        <f>INDEX(Data_checks!$C$31:$E$34,MATCH(G17,Data_checks!$B$31:$B$34,0),MATCH(LEFT(G10,1),Data_checks!$C$30:$E$30,0))</f>
        <v>0.65</v>
      </c>
      <c r="H24" s="10">
        <f>INDEX(Data_checks!$C$31:$E$34,MATCH(H17,Data_checks!$B$31:$B$34,0),MATCH(LEFT(H10,1),Data_checks!$C$30:$E$30,0))</f>
        <v>0.45</v>
      </c>
      <c r="I24" s="10">
        <f>INDEX(Data_checks!$C$31:$E$34,MATCH(I17,Data_checks!$B$31:$B$34,0),MATCH(LEFT(I10,1),Data_checks!$C$30:$E$30,0))</f>
        <v>0.65</v>
      </c>
      <c r="J24" s="10">
        <f>INDEX(Data_checks!$C$31:$E$34,MATCH(J17,Data_checks!$B$31:$B$34,0),MATCH(LEFT(J10,1),Data_checks!$C$30:$E$30,0))</f>
        <v>0.85</v>
      </c>
      <c r="K24" s="10">
        <f>INDEX(Data_checks!$C$31:$E$34,MATCH(K17,Data_checks!$B$31:$B$34,0),MATCH(LEFT(K10,1),Data_checks!$C$30:$E$30,0))</f>
        <v>0.65</v>
      </c>
      <c r="L24" s="10">
        <f>INDEX(Data_checks!$C$31:$E$34,MATCH(L17,Data_checks!$B$31:$B$34,0),MATCH(LEFT(L10,1),Data_checks!$C$30:$E$30,0))</f>
        <v>0.85</v>
      </c>
      <c r="M24" s="10">
        <f>INDEX(Data_checks!$C$31:$E$34,MATCH(M17,Data_checks!$B$31:$B$34,0),MATCH(LEFT(M10,1),Data_checks!$C$30:$E$30,0))</f>
        <v>0.65</v>
      </c>
      <c r="N24" s="10">
        <f>INDEX(Data_checks!$C$31:$E$34,MATCH(N17,Data_checks!$B$31:$B$34,0),MATCH(LEFT(N10,1),Data_checks!$C$30:$E$30,0))</f>
        <v>0.45</v>
      </c>
    </row>
    <row r="26" spans="2:16" x14ac:dyDescent="0.3">
      <c r="B26" s="1" t="s">
        <v>72</v>
      </c>
    </row>
    <row r="27" spans="2:16" x14ac:dyDescent="0.3">
      <c r="B27" s="23" t="s">
        <v>60</v>
      </c>
      <c r="C27" s="22" t="str" cm="1">
        <f t="array" ref="C27:N27">C20:N20</f>
        <v>Jan</v>
      </c>
      <c r="D27" s="22" t="str">
        <v>Feb</v>
      </c>
      <c r="E27" s="22" t="str">
        <v>Mar</v>
      </c>
      <c r="F27" s="22" t="str">
        <v>Apr</v>
      </c>
      <c r="G27" s="22" t="str">
        <v>May</v>
      </c>
      <c r="H27" s="22" t="str">
        <v>Jun</v>
      </c>
      <c r="I27" s="22" t="str">
        <v>Jul</v>
      </c>
      <c r="J27" s="22" t="str">
        <v>Aug</v>
      </c>
      <c r="K27" s="22" t="str">
        <v>Sep</v>
      </c>
      <c r="L27" s="22" t="str">
        <v>Oct</v>
      </c>
      <c r="M27" s="22" t="str">
        <v>Nov</v>
      </c>
      <c r="N27" s="22" t="str">
        <v>Dec</v>
      </c>
    </row>
    <row r="28" spans="2:16" x14ac:dyDescent="0.3">
      <c r="B28" s="23">
        <f>B21</f>
        <v>1</v>
      </c>
      <c r="C28" s="9">
        <f>VLOOKUP($B28,Data_checks!$B$6:$C$9,2,TRUE)*C21*Parameters!$C$5*Parameters!$C$4</f>
        <v>142290</v>
      </c>
      <c r="D28" s="9">
        <f>VLOOKUP($B28,Data_checks!$B$6:$C$9,2,TRUE)*D21*Parameters!$C$5*Parameters!$C$4</f>
        <v>122400</v>
      </c>
      <c r="E28" s="9">
        <f>VLOOKUP($B28,Data_checks!$B$6:$C$9,2,TRUE)*E21*Parameters!$C$5*Parameters!$C$4</f>
        <v>130050</v>
      </c>
      <c r="F28" s="9">
        <f>VLOOKUP($B28,Data_checks!$B$6:$C$9,2,TRUE)*F21*Parameters!$C$5*Parameters!$C$4</f>
        <v>142290</v>
      </c>
      <c r="G28" s="9">
        <f>VLOOKUP($B28,Data_checks!$B$6:$C$9,2,TRUE)*G21*Parameters!$C$5*Parameters!$C$4</f>
        <v>122400</v>
      </c>
      <c r="H28" s="9">
        <f>VLOOKUP($B28,Data_checks!$B$6:$C$9,2,TRUE)*H21*Parameters!$C$5*Parameters!$C$4</f>
        <v>130050</v>
      </c>
      <c r="I28" s="9">
        <f>VLOOKUP($B28,Data_checks!$B$6:$C$9,2,TRUE)*I21*Parameters!$C$5*Parameters!$C$4</f>
        <v>149940</v>
      </c>
      <c r="J28" s="9">
        <f>VLOOKUP($B28,Data_checks!$B$6:$C$9,2,TRUE)*J21*Parameters!$C$5*Parameters!$C$4</f>
        <v>130050</v>
      </c>
      <c r="K28" s="9">
        <f>VLOOKUP($B28,Data_checks!$B$6:$C$9,2,TRUE)*K21*Parameters!$C$5*Parameters!$C$4</f>
        <v>99450</v>
      </c>
      <c r="L28" s="9">
        <f>VLOOKUP($B28,Data_checks!$B$6:$C$9,2,TRUE)*L21*Parameters!$C$5*Parameters!$C$4</f>
        <v>142290</v>
      </c>
      <c r="M28" s="9">
        <f>VLOOKUP($B28,Data_checks!$B$6:$C$9,2,TRUE)*M21*Parameters!$C$5*Parameters!$C$4</f>
        <v>122400</v>
      </c>
      <c r="N28" s="9">
        <f>VLOOKUP($B28,Data_checks!$B$6:$C$9,2,TRUE)*N21*Parameters!$C$5*Parameters!$C$4</f>
        <v>99450</v>
      </c>
    </row>
    <row r="29" spans="2:16" x14ac:dyDescent="0.3">
      <c r="B29" s="23">
        <f>B22</f>
        <v>2</v>
      </c>
      <c r="C29" s="9">
        <f>VLOOKUP($B29,Data_checks!$B$6:$C$9,2,TRUE)*C22*Parameters!$C$5*Parameters!$C$4</f>
        <v>75330</v>
      </c>
      <c r="D29" s="9">
        <f>VLOOKUP($B29,Data_checks!$B$6:$C$9,2,TRUE)*D22*Parameters!$C$5*Parameters!$C$4</f>
        <v>52650</v>
      </c>
      <c r="E29" s="9">
        <f>VLOOKUP($B29,Data_checks!$B$6:$C$9,2,TRUE)*E22*Parameters!$C$5*Parameters!$C$4</f>
        <v>52650</v>
      </c>
      <c r="F29" s="9">
        <f>VLOOKUP($B29,Data_checks!$B$6:$C$9,2,TRUE)*F22*Parameters!$C$5*Parameters!$C$4</f>
        <v>75330</v>
      </c>
      <c r="G29" s="9">
        <f>VLOOKUP($B29,Data_checks!$B$6:$C$9,2,TRUE)*G22*Parameters!$C$5*Parameters!$C$4</f>
        <v>68850</v>
      </c>
      <c r="H29" s="9">
        <f>VLOOKUP($B29,Data_checks!$B$6:$C$9,2,TRUE)*H22*Parameters!$C$5*Parameters!$C$4</f>
        <v>52650</v>
      </c>
      <c r="I29" s="9">
        <f>VLOOKUP($B29,Data_checks!$B$6:$C$9,2,TRUE)*I22*Parameters!$C$5*Parameters!$C$4</f>
        <v>79380</v>
      </c>
      <c r="J29" s="9">
        <f>VLOOKUP($B29,Data_checks!$B$6:$C$9,2,TRUE)*J22*Parameters!$C$5*Parameters!$C$4</f>
        <v>68850</v>
      </c>
      <c r="K29" s="9">
        <f>VLOOKUP($B29,Data_checks!$B$6:$C$9,2,TRUE)*K22*Parameters!$C$5*Parameters!$C$4</f>
        <v>56700</v>
      </c>
      <c r="L29" s="9">
        <f>VLOOKUP($B29,Data_checks!$B$6:$C$9,2,TRUE)*L22*Parameters!$C$5*Parameters!$C$4</f>
        <v>75330</v>
      </c>
      <c r="M29" s="9">
        <f>VLOOKUP($B29,Data_checks!$B$6:$C$9,2,TRUE)*M22*Parameters!$C$5*Parameters!$C$4</f>
        <v>68850</v>
      </c>
      <c r="N29" s="9">
        <f>VLOOKUP($B29,Data_checks!$B$6:$C$9,2,TRUE)*N22*Parameters!$C$5*Parameters!$C$4</f>
        <v>52650</v>
      </c>
    </row>
    <row r="30" spans="2:16" x14ac:dyDescent="0.3">
      <c r="B30" s="23">
        <f>B23</f>
        <v>3</v>
      </c>
      <c r="C30" s="9">
        <f>VLOOKUP($B30,Data_checks!$B$6:$C$9,2,TRUE)*C23*Parameters!$C$5*Parameters!$C$4</f>
        <v>30600</v>
      </c>
      <c r="D30" s="9">
        <f>VLOOKUP($B30,Data_checks!$B$6:$C$9,2,TRUE)*D23*Parameters!$C$5*Parameters!$C$4</f>
        <v>23400</v>
      </c>
      <c r="E30" s="9">
        <f>VLOOKUP($B30,Data_checks!$B$6:$C$9,2,TRUE)*E23*Parameters!$C$5*Parameters!$C$4</f>
        <v>30600</v>
      </c>
      <c r="F30" s="9">
        <f>VLOOKUP($B30,Data_checks!$B$6:$C$9,2,TRUE)*F23*Parameters!$C$5*Parameters!$C$4</f>
        <v>30600</v>
      </c>
      <c r="G30" s="9">
        <f>VLOOKUP($B30,Data_checks!$B$6:$C$9,2,TRUE)*G23*Parameters!$C$5*Parameters!$C$4</f>
        <v>23400</v>
      </c>
      <c r="H30" s="9">
        <f>VLOOKUP($B30,Data_checks!$B$6:$C$9,2,TRUE)*H23*Parameters!$C$5*Parameters!$C$4</f>
        <v>23400</v>
      </c>
      <c r="I30" s="9">
        <f>VLOOKUP($B30,Data_checks!$B$6:$C$9,2,TRUE)*I23*Parameters!$C$5*Parameters!$C$4</f>
        <v>35280</v>
      </c>
      <c r="J30" s="9">
        <f>VLOOKUP($B30,Data_checks!$B$6:$C$9,2,TRUE)*J23*Parameters!$C$5*Parameters!$C$4</f>
        <v>30600</v>
      </c>
      <c r="K30" s="9">
        <f>VLOOKUP($B30,Data_checks!$B$6:$C$9,2,TRUE)*K23*Parameters!$C$5*Parameters!$C$4</f>
        <v>25200</v>
      </c>
      <c r="L30" s="9">
        <f>VLOOKUP($B30,Data_checks!$B$6:$C$9,2,TRUE)*L23*Parameters!$C$5*Parameters!$C$4</f>
        <v>21600</v>
      </c>
      <c r="M30" s="9">
        <f>VLOOKUP($B30,Data_checks!$B$6:$C$9,2,TRUE)*M23*Parameters!$C$5*Parameters!$C$4</f>
        <v>23400</v>
      </c>
      <c r="N30" s="9">
        <f>VLOOKUP($B30,Data_checks!$B$6:$C$9,2,TRUE)*N23*Parameters!$C$5*Parameters!$C$4</f>
        <v>23400</v>
      </c>
    </row>
    <row r="31" spans="2:16" x14ac:dyDescent="0.3">
      <c r="B31" s="23">
        <f>B24</f>
        <v>4</v>
      </c>
      <c r="C31" s="9">
        <f>VLOOKUP($B31,Data_checks!$B$6:$C$9,2,TRUE)*C24*Parameters!$C$5*Parameters!$C$4</f>
        <v>22950</v>
      </c>
      <c r="D31" s="9">
        <f>VLOOKUP($B31,Data_checks!$B$6:$C$9,2,TRUE)*D24*Parameters!$C$5*Parameters!$C$4</f>
        <v>17550</v>
      </c>
      <c r="E31" s="9">
        <f>VLOOKUP($B31,Data_checks!$B$6:$C$9,2,TRUE)*E24*Parameters!$C$5*Parameters!$C$4</f>
        <v>12150</v>
      </c>
      <c r="F31" s="9">
        <f>VLOOKUP($B31,Data_checks!$B$6:$C$9,2,TRUE)*F24*Parameters!$C$5*Parameters!$C$4</f>
        <v>17550</v>
      </c>
      <c r="G31" s="9">
        <f>VLOOKUP($B31,Data_checks!$B$6:$C$9,2,TRUE)*G24*Parameters!$C$5*Parameters!$C$4</f>
        <v>17550</v>
      </c>
      <c r="H31" s="9">
        <f>VLOOKUP($B31,Data_checks!$B$6:$C$9,2,TRUE)*H24*Parameters!$C$5*Parameters!$C$4</f>
        <v>12150</v>
      </c>
      <c r="I31" s="9">
        <f>VLOOKUP($B31,Data_checks!$B$6:$C$9,2,TRUE)*I24*Parameters!$C$5*Parameters!$C$4</f>
        <v>17550</v>
      </c>
      <c r="J31" s="9">
        <f>VLOOKUP($B31,Data_checks!$B$6:$C$9,2,TRUE)*J24*Parameters!$C$5*Parameters!$C$4</f>
        <v>22950</v>
      </c>
      <c r="K31" s="9">
        <f>VLOOKUP($B31,Data_checks!$B$6:$C$9,2,TRUE)*K24*Parameters!$C$5*Parameters!$C$4</f>
        <v>17550</v>
      </c>
      <c r="L31" s="9">
        <f>VLOOKUP($B31,Data_checks!$B$6:$C$9,2,TRUE)*L24*Parameters!$C$5*Parameters!$C$4</f>
        <v>22950</v>
      </c>
      <c r="M31" s="9">
        <f>VLOOKUP($B31,Data_checks!$B$6:$C$9,2,TRUE)*M24*Parameters!$C$5*Parameters!$C$4</f>
        <v>17550</v>
      </c>
      <c r="N31" s="9">
        <f>VLOOKUP($B31,Data_checks!$B$6:$C$9,2,TRUE)*N24*Parameters!$C$5*Parameters!$C$4</f>
        <v>12150</v>
      </c>
      <c r="P31" s="13" t="s">
        <v>34</v>
      </c>
    </row>
    <row r="32" spans="2:16" s="1" customFormat="1" x14ac:dyDescent="0.3">
      <c r="B32" s="1" t="s">
        <v>55</v>
      </c>
      <c r="C32" s="16">
        <f>SUM(C28:C31)</f>
        <v>271170</v>
      </c>
      <c r="D32" s="16">
        <f t="shared" ref="D32:N32" si="4">SUM(D28:D31)</f>
        <v>216000</v>
      </c>
      <c r="E32" s="16">
        <f t="shared" si="4"/>
        <v>225450</v>
      </c>
      <c r="F32" s="16">
        <f t="shared" si="4"/>
        <v>265770</v>
      </c>
      <c r="G32" s="16">
        <f t="shared" si="4"/>
        <v>232200</v>
      </c>
      <c r="H32" s="16">
        <f t="shared" si="4"/>
        <v>218250</v>
      </c>
      <c r="I32" s="16">
        <f t="shared" si="4"/>
        <v>282150</v>
      </c>
      <c r="J32" s="16">
        <f t="shared" si="4"/>
        <v>252450</v>
      </c>
      <c r="K32" s="16">
        <f t="shared" si="4"/>
        <v>198900</v>
      </c>
      <c r="L32" s="16">
        <f t="shared" si="4"/>
        <v>262170</v>
      </c>
      <c r="M32" s="16">
        <f t="shared" si="4"/>
        <v>232200</v>
      </c>
      <c r="N32" s="16">
        <f t="shared" si="4"/>
        <v>187650</v>
      </c>
      <c r="O32" s="17">
        <f>SUM(C32:N32)</f>
        <v>2844360</v>
      </c>
      <c r="P32" s="17" t="str">
        <f>IF(O32=Data_checks!E58,"Data is internally consistent","Data is not consistent. Please check")</f>
        <v>Data is internally consistent</v>
      </c>
    </row>
    <row r="34" spans="2:16" x14ac:dyDescent="0.3">
      <c r="B34" s="1" t="s">
        <v>80</v>
      </c>
    </row>
    <row r="35" spans="2:16" ht="28.8" x14ac:dyDescent="0.3">
      <c r="B35" s="26" t="s">
        <v>57</v>
      </c>
      <c r="C35" s="22" t="str">
        <f>C27</f>
        <v>Jan</v>
      </c>
      <c r="D35" s="22" t="str">
        <f t="shared" ref="D35:N35" si="5">D27</f>
        <v>Feb</v>
      </c>
      <c r="E35" s="22" t="str">
        <f t="shared" si="5"/>
        <v>Mar</v>
      </c>
      <c r="F35" s="22" t="str">
        <f t="shared" si="5"/>
        <v>Apr</v>
      </c>
      <c r="G35" s="22" t="str">
        <f t="shared" si="5"/>
        <v>May</v>
      </c>
      <c r="H35" s="22" t="str">
        <f t="shared" si="5"/>
        <v>Jun</v>
      </c>
      <c r="I35" s="22" t="str">
        <f t="shared" si="5"/>
        <v>Jul</v>
      </c>
      <c r="J35" s="22" t="str">
        <f t="shared" si="5"/>
        <v>Aug</v>
      </c>
      <c r="K35" s="22" t="str">
        <f t="shared" si="5"/>
        <v>Sep</v>
      </c>
      <c r="L35" s="22" t="str">
        <f t="shared" si="5"/>
        <v>Oct</v>
      </c>
      <c r="M35" s="22" t="str">
        <f t="shared" si="5"/>
        <v>Nov</v>
      </c>
      <c r="N35" s="22" t="str">
        <f t="shared" si="5"/>
        <v>Dec</v>
      </c>
    </row>
    <row r="36" spans="2:16" x14ac:dyDescent="0.3">
      <c r="B36" s="23">
        <f>Data!B21</f>
        <v>1</v>
      </c>
      <c r="C36" s="6">
        <f>C$32*Data_checks!$F44</f>
        <v>17658.140108846983</v>
      </c>
      <c r="D36" s="6">
        <f>D$32*Data_checks!$F44</f>
        <v>14065.561321351728</v>
      </c>
      <c r="E36" s="6">
        <f>E$32*Data_checks!$F44</f>
        <v>14680.929629160866</v>
      </c>
      <c r="F36" s="6">
        <f>F$32*Data_checks!$F44</f>
        <v>17306.50107581319</v>
      </c>
      <c r="G36" s="6">
        <f>G$32*Data_checks!$F44</f>
        <v>15120.478420453108</v>
      </c>
      <c r="H36" s="6">
        <f>H$32*Data_checks!$F44</f>
        <v>14212.077585115809</v>
      </c>
      <c r="I36" s="6">
        <f>I$32*Data_checks!$F44</f>
        <v>18373.139476015695</v>
      </c>
      <c r="J36" s="6">
        <f>J$32*Data_checks!$F44</f>
        <v>16439.124794329833</v>
      </c>
      <c r="K36" s="6">
        <f>K$32*Data_checks!$F44</f>
        <v>12952.037716744717</v>
      </c>
      <c r="L36" s="6">
        <f>L$32*Data_checks!$F44</f>
        <v>17072.075053790661</v>
      </c>
      <c r="M36" s="6">
        <f>M$32*Data_checks!$F44</f>
        <v>15120.478420453108</v>
      </c>
      <c r="N36" s="6">
        <f>N$32*Data_checks!$F44</f>
        <v>12219.456397924314</v>
      </c>
    </row>
    <row r="37" spans="2:16" x14ac:dyDescent="0.3">
      <c r="B37" s="23">
        <f>Data!B22</f>
        <v>2</v>
      </c>
      <c r="C37" s="6">
        <f>C$32*Data_checks!$F45</f>
        <v>51481.45804328566</v>
      </c>
      <c r="D37" s="6">
        <f>D$32*Data_checks!$F45</f>
        <v>41007.467409188706</v>
      </c>
      <c r="E37" s="6">
        <f>E$32*Data_checks!$F45</f>
        <v>42801.544108340713</v>
      </c>
      <c r="F37" s="6">
        <f>F$32*Data_checks!$F45</f>
        <v>50456.271358055943</v>
      </c>
      <c r="G37" s="6">
        <f>G$32*Data_checks!$F45</f>
        <v>44083.027464877865</v>
      </c>
      <c r="H37" s="6">
        <f>H$32*Data_checks!$F45</f>
        <v>41434.628528034424</v>
      </c>
      <c r="I37" s="6">
        <f>I$32*Data_checks!$F45</f>
        <v>53566.004303252754</v>
      </c>
      <c r="J37" s="6">
        <f>J$32*Data_checks!$F45</f>
        <v>47927.477534489306</v>
      </c>
      <c r="K37" s="6">
        <f>K$32*Data_checks!$F45</f>
        <v>37761.042905961272</v>
      </c>
      <c r="L37" s="6">
        <f>L$32*Data_checks!$F45</f>
        <v>49772.813567902798</v>
      </c>
      <c r="M37" s="6">
        <f>M$32*Data_checks!$F45</f>
        <v>44083.027464877865</v>
      </c>
      <c r="N37" s="6">
        <f>N$32*Data_checks!$F45</f>
        <v>35625.237311732693</v>
      </c>
    </row>
    <row r="38" spans="2:16" x14ac:dyDescent="0.3">
      <c r="B38" s="23">
        <f>Data!B23</f>
        <v>3</v>
      </c>
      <c r="C38" s="6">
        <f>C$32*Data_checks!$F46</f>
        <v>51481.45804328566</v>
      </c>
      <c r="D38" s="6">
        <f>D$32*Data_checks!$F46</f>
        <v>41007.467409188706</v>
      </c>
      <c r="E38" s="6">
        <f>E$32*Data_checks!$F46</f>
        <v>42801.544108340713</v>
      </c>
      <c r="F38" s="6">
        <f>F$32*Data_checks!$F46</f>
        <v>50456.271358055943</v>
      </c>
      <c r="G38" s="6">
        <f>G$32*Data_checks!$F46</f>
        <v>44083.027464877865</v>
      </c>
      <c r="H38" s="6">
        <f>H$32*Data_checks!$F46</f>
        <v>41434.628528034424</v>
      </c>
      <c r="I38" s="6">
        <f>I$32*Data_checks!$F46</f>
        <v>53566.004303252754</v>
      </c>
      <c r="J38" s="6">
        <f>J$32*Data_checks!$F46</f>
        <v>47927.477534489306</v>
      </c>
      <c r="K38" s="6">
        <f>K$32*Data_checks!$F46</f>
        <v>37761.042905961272</v>
      </c>
      <c r="L38" s="6">
        <f>L$32*Data_checks!$F46</f>
        <v>49772.813567902798</v>
      </c>
      <c r="M38" s="6">
        <f>M$32*Data_checks!$F46</f>
        <v>44083.027464877865</v>
      </c>
      <c r="N38" s="6">
        <f>N$32*Data_checks!$F46</f>
        <v>35625.237311732693</v>
      </c>
    </row>
    <row r="39" spans="2:16" x14ac:dyDescent="0.3">
      <c r="B39" s="23">
        <f>Data!B24</f>
        <v>4</v>
      </c>
      <c r="C39" s="6">
        <f>C$32*Data_checks!$F47</f>
        <v>51481.45804328566</v>
      </c>
      <c r="D39" s="6">
        <f>D$32*Data_checks!$F47</f>
        <v>41007.467409188706</v>
      </c>
      <c r="E39" s="6">
        <f>E$32*Data_checks!$F47</f>
        <v>42801.544108340713</v>
      </c>
      <c r="F39" s="6">
        <f>F$32*Data_checks!$F47</f>
        <v>50456.271358055943</v>
      </c>
      <c r="G39" s="6">
        <f>G$32*Data_checks!$F47</f>
        <v>44083.027464877865</v>
      </c>
      <c r="H39" s="6">
        <f>H$32*Data_checks!$F47</f>
        <v>41434.628528034424</v>
      </c>
      <c r="I39" s="6">
        <f>I$32*Data_checks!$F47</f>
        <v>53566.004303252754</v>
      </c>
      <c r="J39" s="6">
        <f>J$32*Data_checks!$F47</f>
        <v>47927.477534489306</v>
      </c>
      <c r="K39" s="6">
        <f>K$32*Data_checks!$F47</f>
        <v>37761.042905961272</v>
      </c>
      <c r="L39" s="6">
        <f>L$32*Data_checks!$F47</f>
        <v>49772.813567902798</v>
      </c>
      <c r="M39" s="6">
        <f>M$32*Data_checks!$F47</f>
        <v>44083.027464877865</v>
      </c>
      <c r="N39" s="6">
        <f>N$32*Data_checks!$F47</f>
        <v>35625.237311732693</v>
      </c>
    </row>
    <row r="40" spans="2:16" x14ac:dyDescent="0.3">
      <c r="B40" s="23">
        <f>Data!B25</f>
        <v>5</v>
      </c>
      <c r="C40" s="6">
        <f>C$32*Data_checks!$F48</f>
        <v>38611.093532464241</v>
      </c>
      <c r="D40" s="6">
        <f>D$32*Data_checks!$F48</f>
        <v>30755.600556891532</v>
      </c>
      <c r="E40" s="6">
        <f>E$32*Data_checks!$F48</f>
        <v>32101.158081255537</v>
      </c>
      <c r="F40" s="6">
        <f>F$32*Data_checks!$F48</f>
        <v>37842.203518541959</v>
      </c>
      <c r="G40" s="6">
        <f>G$32*Data_checks!$F48</f>
        <v>33062.270598658397</v>
      </c>
      <c r="H40" s="6">
        <f>H$32*Data_checks!$F48</f>
        <v>31075.97139602582</v>
      </c>
      <c r="I40" s="6">
        <f>I$32*Data_checks!$F48</f>
        <v>40174.503227439563</v>
      </c>
      <c r="J40" s="6">
        <f>J$32*Data_checks!$F48</f>
        <v>35945.608150866981</v>
      </c>
      <c r="K40" s="6">
        <f>K$32*Data_checks!$F48</f>
        <v>28320.782179470953</v>
      </c>
      <c r="L40" s="6">
        <f>L$32*Data_checks!$F48</f>
        <v>37329.610175927097</v>
      </c>
      <c r="M40" s="6">
        <f>M$32*Data_checks!$F48</f>
        <v>33062.270598658397</v>
      </c>
      <c r="N40" s="6">
        <f>N$32*Data_checks!$F48</f>
        <v>26718.92798379952</v>
      </c>
    </row>
    <row r="41" spans="2:16" x14ac:dyDescent="0.3">
      <c r="B41" s="23">
        <f>Data!B26</f>
        <v>6</v>
      </c>
      <c r="C41" s="6">
        <f>C$32*Data_checks!$F49</f>
        <v>30888.874825971394</v>
      </c>
      <c r="D41" s="6">
        <f>D$32*Data_checks!$F49</f>
        <v>24604.480445513225</v>
      </c>
      <c r="E41" s="6">
        <f>E$32*Data_checks!$F49</f>
        <v>25680.926465004428</v>
      </c>
      <c r="F41" s="6">
        <f>F$32*Data_checks!$F49</f>
        <v>30273.762814833564</v>
      </c>
      <c r="G41" s="6">
        <f>G$32*Data_checks!$F49</f>
        <v>26449.816478926718</v>
      </c>
      <c r="H41" s="6">
        <f>H$32*Data_checks!$F49</f>
        <v>24860.777116820656</v>
      </c>
      <c r="I41" s="6">
        <f>I$32*Data_checks!$F49</f>
        <v>32139.602581951651</v>
      </c>
      <c r="J41" s="6">
        <f>J$32*Data_checks!$F49</f>
        <v>28756.486520693583</v>
      </c>
      <c r="K41" s="6">
        <f>K$32*Data_checks!$F49</f>
        <v>22656.625743576762</v>
      </c>
      <c r="L41" s="6">
        <f>L$32*Data_checks!$F49</f>
        <v>29863.688140741677</v>
      </c>
      <c r="M41" s="6">
        <f>M$32*Data_checks!$F49</f>
        <v>26449.816478926718</v>
      </c>
      <c r="N41" s="6">
        <f>N$32*Data_checks!$F49</f>
        <v>21375.142387039614</v>
      </c>
    </row>
    <row r="42" spans="2:16" x14ac:dyDescent="0.3">
      <c r="B42" s="23">
        <f>Data!B27</f>
        <v>7</v>
      </c>
      <c r="C42" s="6">
        <f>C$32*Data_checks!$F50</f>
        <v>18018.510315149979</v>
      </c>
      <c r="D42" s="6">
        <f>D$32*Data_checks!$F50</f>
        <v>14352.613593216049</v>
      </c>
      <c r="E42" s="6">
        <f>E$32*Data_checks!$F50</f>
        <v>14980.54043791925</v>
      </c>
      <c r="F42" s="6">
        <f>F$32*Data_checks!$F50</f>
        <v>17659.69497531958</v>
      </c>
      <c r="G42" s="6">
        <f>G$32*Data_checks!$F50</f>
        <v>15429.059612707251</v>
      </c>
      <c r="H42" s="6">
        <f>H$32*Data_checks!$F50</f>
        <v>14502.119984812049</v>
      </c>
      <c r="I42" s="6">
        <f>I$32*Data_checks!$F50</f>
        <v>18748.101506138464</v>
      </c>
      <c r="J42" s="6">
        <f>J$32*Data_checks!$F50</f>
        <v>16774.617137071255</v>
      </c>
      <c r="K42" s="6">
        <f>K$32*Data_checks!$F50</f>
        <v>13216.365017086444</v>
      </c>
      <c r="L42" s="6">
        <f>L$32*Data_checks!$F50</f>
        <v>17420.484748765979</v>
      </c>
      <c r="M42" s="6">
        <f>M$32*Data_checks!$F50</f>
        <v>15429.059612707251</v>
      </c>
      <c r="N42" s="6">
        <f>N$32*Data_checks!$F50</f>
        <v>12468.833059106442</v>
      </c>
    </row>
    <row r="43" spans="2:16" x14ac:dyDescent="0.3">
      <c r="B43" s="23">
        <f>Data!B28</f>
        <v>8</v>
      </c>
      <c r="C43" s="6">
        <f>C$32*Data_checks!$F51</f>
        <v>4118.5166434628527</v>
      </c>
      <c r="D43" s="6">
        <f>D$32*Data_checks!$F51</f>
        <v>3280.5973927350969</v>
      </c>
      <c r="E43" s="6">
        <f>E$32*Data_checks!$F51</f>
        <v>3424.1235286672577</v>
      </c>
      <c r="F43" s="6">
        <f>F$32*Data_checks!$F51</f>
        <v>4036.5017086444755</v>
      </c>
      <c r="G43" s="6">
        <f>G$32*Data_checks!$F51</f>
        <v>3526.6421971902291</v>
      </c>
      <c r="H43" s="6">
        <f>H$32*Data_checks!$F51</f>
        <v>3314.7702822427541</v>
      </c>
      <c r="I43" s="6">
        <f>I$32*Data_checks!$F51</f>
        <v>4285.2803442602208</v>
      </c>
      <c r="J43" s="6">
        <f>J$32*Data_checks!$F51</f>
        <v>3834.1982027591448</v>
      </c>
      <c r="K43" s="6">
        <f>K$32*Data_checks!$F51</f>
        <v>3020.8834324769018</v>
      </c>
      <c r="L43" s="6">
        <f>L$32*Data_checks!$F51</f>
        <v>3981.8250854322241</v>
      </c>
      <c r="M43" s="6">
        <f>M$32*Data_checks!$F51</f>
        <v>3526.6421971902291</v>
      </c>
      <c r="N43" s="6">
        <f>N$32*Data_checks!$F51</f>
        <v>2850.0189849386156</v>
      </c>
    </row>
    <row r="44" spans="2:16" x14ac:dyDescent="0.3">
      <c r="B44" s="23">
        <f>Data!B29</f>
        <v>9</v>
      </c>
      <c r="C44" s="6">
        <f>C$32*Data_checks!$F52</f>
        <v>3088.8874825971393</v>
      </c>
      <c r="D44" s="6">
        <f>D$32*Data_checks!$F52</f>
        <v>2460.4480445513223</v>
      </c>
      <c r="E44" s="6">
        <f>E$32*Data_checks!$F52</f>
        <v>2568.0926465004427</v>
      </c>
      <c r="F44" s="6">
        <f>F$32*Data_checks!$F52</f>
        <v>3027.3762814833563</v>
      </c>
      <c r="G44" s="6">
        <f>G$32*Data_checks!$F52</f>
        <v>2644.9816478926718</v>
      </c>
      <c r="H44" s="6">
        <f>H$32*Data_checks!$F52</f>
        <v>2486.0777116820655</v>
      </c>
      <c r="I44" s="6">
        <f>I$32*Data_checks!$F52</f>
        <v>3213.9602581951649</v>
      </c>
      <c r="J44" s="6">
        <f>J$32*Data_checks!$F52</f>
        <v>2875.6486520693579</v>
      </c>
      <c r="K44" s="6">
        <f>K$32*Data_checks!$F52</f>
        <v>2265.662574357676</v>
      </c>
      <c r="L44" s="6">
        <f>L$32*Data_checks!$F52</f>
        <v>2986.3688140741674</v>
      </c>
      <c r="M44" s="6">
        <f>M$32*Data_checks!$F52</f>
        <v>2644.9816478926718</v>
      </c>
      <c r="N44" s="6">
        <f>N$32*Data_checks!$F52</f>
        <v>2137.5142387039614</v>
      </c>
    </row>
    <row r="45" spans="2:16" x14ac:dyDescent="0.3">
      <c r="B45" s="23">
        <f>Data!B30</f>
        <v>10</v>
      </c>
      <c r="C45" s="6">
        <f>C$32*Data_checks!$F53</f>
        <v>1029.6291608657132</v>
      </c>
      <c r="D45" s="6">
        <f>D$32*Data_checks!$F53</f>
        <v>820.14934818377424</v>
      </c>
      <c r="E45" s="6">
        <f>E$32*Data_checks!$F53</f>
        <v>856.03088216681442</v>
      </c>
      <c r="F45" s="6">
        <f>F$32*Data_checks!$F53</f>
        <v>1009.1254271611189</v>
      </c>
      <c r="G45" s="6">
        <f>G$32*Data_checks!$F53</f>
        <v>881.66054929755728</v>
      </c>
      <c r="H45" s="6">
        <f>H$32*Data_checks!$F53</f>
        <v>828.69257056068852</v>
      </c>
      <c r="I45" s="6">
        <f>I$32*Data_checks!$F53</f>
        <v>1071.3200860650552</v>
      </c>
      <c r="J45" s="6">
        <f>J$32*Data_checks!$F53</f>
        <v>958.5495506897862</v>
      </c>
      <c r="K45" s="6">
        <f>K$32*Data_checks!$F53</f>
        <v>755.22085811922545</v>
      </c>
      <c r="L45" s="6">
        <f>L$32*Data_checks!$F53</f>
        <v>995.45627135805603</v>
      </c>
      <c r="M45" s="6">
        <f>M$32*Data_checks!$F53</f>
        <v>881.66054929755728</v>
      </c>
      <c r="N45" s="6">
        <f>N$32*Data_checks!$F53</f>
        <v>712.50474623465391</v>
      </c>
    </row>
    <row r="46" spans="2:16" x14ac:dyDescent="0.3">
      <c r="B46" s="23">
        <f>Data!B31</f>
        <v>11</v>
      </c>
      <c r="C46" s="6">
        <f>C$32*Data_checks!$F54</f>
        <v>1132.5920769522847</v>
      </c>
      <c r="D46" s="6">
        <f>D$32*Data_checks!$F54</f>
        <v>902.16428300215171</v>
      </c>
      <c r="E46" s="6">
        <f>E$32*Data_checks!$F54</f>
        <v>941.63397038349581</v>
      </c>
      <c r="F46" s="6">
        <f>F$32*Data_checks!$F54</f>
        <v>1110.0379698772308</v>
      </c>
      <c r="G46" s="6">
        <f>G$32*Data_checks!$F54</f>
        <v>969.82660422731306</v>
      </c>
      <c r="H46" s="6">
        <f>H$32*Data_checks!$F54</f>
        <v>911.56182761675745</v>
      </c>
      <c r="I46" s="6">
        <f>I$32*Data_checks!$F54</f>
        <v>1178.4520946715606</v>
      </c>
      <c r="J46" s="6">
        <f>J$32*Data_checks!$F54</f>
        <v>1054.4045057587648</v>
      </c>
      <c r="K46" s="6">
        <f>K$32*Data_checks!$F54</f>
        <v>830.74294393114803</v>
      </c>
      <c r="L46" s="6">
        <f>L$32*Data_checks!$F54</f>
        <v>1095.0018984938617</v>
      </c>
      <c r="M46" s="6">
        <f>M$32*Data_checks!$F54</f>
        <v>969.82660422731306</v>
      </c>
      <c r="N46" s="6">
        <f>N$32*Data_checks!$F54</f>
        <v>783.75522085811929</v>
      </c>
    </row>
    <row r="47" spans="2:16" x14ac:dyDescent="0.3">
      <c r="B47" s="23">
        <f>Data!B32</f>
        <v>12</v>
      </c>
      <c r="C47" s="6">
        <f>C$32*Data_checks!$F55</f>
        <v>1029.6291608657132</v>
      </c>
      <c r="D47" s="6">
        <f>D$32*Data_checks!$F55</f>
        <v>820.14934818377424</v>
      </c>
      <c r="E47" s="6">
        <f>E$32*Data_checks!$F55</f>
        <v>856.03088216681442</v>
      </c>
      <c r="F47" s="6">
        <f>F$32*Data_checks!$F55</f>
        <v>1009.1254271611189</v>
      </c>
      <c r="G47" s="6">
        <f>G$32*Data_checks!$F55</f>
        <v>881.66054929755728</v>
      </c>
      <c r="H47" s="6">
        <f>H$32*Data_checks!$F55</f>
        <v>828.69257056068852</v>
      </c>
      <c r="I47" s="6">
        <f>I$32*Data_checks!$F55</f>
        <v>1071.3200860650552</v>
      </c>
      <c r="J47" s="6">
        <f>J$32*Data_checks!$F55</f>
        <v>958.5495506897862</v>
      </c>
      <c r="K47" s="6">
        <f>K$32*Data_checks!$F55</f>
        <v>755.22085811922545</v>
      </c>
      <c r="L47" s="6">
        <f>L$32*Data_checks!$F55</f>
        <v>995.45627135805603</v>
      </c>
      <c r="M47" s="6">
        <f>M$32*Data_checks!$F55</f>
        <v>881.66054929755728</v>
      </c>
      <c r="N47" s="6">
        <f>N$32*Data_checks!$F55</f>
        <v>712.50474623465391</v>
      </c>
    </row>
    <row r="48" spans="2:16" x14ac:dyDescent="0.3">
      <c r="B48" s="23">
        <f>Data!B33</f>
        <v>13</v>
      </c>
      <c r="C48" s="6">
        <f>C$32*Data_checks!$F56</f>
        <v>669.2589545627136</v>
      </c>
      <c r="D48" s="6">
        <f>D$32*Data_checks!$F56</f>
        <v>533.09707631945321</v>
      </c>
      <c r="E48" s="6">
        <f>E$32*Data_checks!$F56</f>
        <v>556.42007340842929</v>
      </c>
      <c r="F48" s="6">
        <f>F$32*Data_checks!$F56</f>
        <v>655.93152765472723</v>
      </c>
      <c r="G48" s="6">
        <f>G$32*Data_checks!$F56</f>
        <v>573.07935704341219</v>
      </c>
      <c r="H48" s="6">
        <f>H$32*Data_checks!$F56</f>
        <v>538.65017086444755</v>
      </c>
      <c r="I48" s="6">
        <f>I$32*Data_checks!$F56</f>
        <v>696.35805594228577</v>
      </c>
      <c r="J48" s="6">
        <f>J$32*Data_checks!$F56</f>
        <v>623.057207948361</v>
      </c>
      <c r="K48" s="6">
        <f>K$32*Data_checks!$F56</f>
        <v>490.89355777749654</v>
      </c>
      <c r="L48" s="6">
        <f>L$32*Data_checks!$F56</f>
        <v>647.04657638273636</v>
      </c>
      <c r="M48" s="6">
        <f>M$32*Data_checks!$F56</f>
        <v>573.07935704341219</v>
      </c>
      <c r="N48" s="6">
        <f>N$32*Data_checks!$F56</f>
        <v>463.12808505252502</v>
      </c>
      <c r="P48" s="13" t="s">
        <v>35</v>
      </c>
    </row>
    <row r="49" spans="2:16" x14ac:dyDescent="0.3">
      <c r="B49" s="23">
        <f>Data!B34</f>
        <v>14</v>
      </c>
      <c r="C49" s="6">
        <f>C$32*Data_checks!$F57</f>
        <v>480.49360840399953</v>
      </c>
      <c r="D49" s="6">
        <f>D$32*Data_checks!$F57</f>
        <v>382.73636248576133</v>
      </c>
      <c r="E49" s="6">
        <f>E$32*Data_checks!$F57</f>
        <v>399.48107834451338</v>
      </c>
      <c r="F49" s="6">
        <f>F$32*Data_checks!$F57</f>
        <v>470.92519934185549</v>
      </c>
      <c r="G49" s="6">
        <f>G$32*Data_checks!$F57</f>
        <v>411.4415896721934</v>
      </c>
      <c r="H49" s="6">
        <f>H$32*Data_checks!$F57</f>
        <v>386.72319959498799</v>
      </c>
      <c r="I49" s="6">
        <f>I$32*Data_checks!$F57</f>
        <v>499.9493734970257</v>
      </c>
      <c r="J49" s="6">
        <f>J$32*Data_checks!$F57</f>
        <v>447.32312365523353</v>
      </c>
      <c r="K49" s="6">
        <f>K$32*Data_checks!$F57</f>
        <v>352.43640045563853</v>
      </c>
      <c r="L49" s="6">
        <f>L$32*Data_checks!$F57</f>
        <v>464.54625996709279</v>
      </c>
      <c r="M49" s="6">
        <f>M$32*Data_checks!$F57</f>
        <v>411.4415896721934</v>
      </c>
      <c r="N49" s="6">
        <f>N$32*Data_checks!$F57</f>
        <v>332.50221490950514</v>
      </c>
      <c r="O49" s="6">
        <f>SUM(C36:N49)</f>
        <v>2844360.0000000005</v>
      </c>
      <c r="P49" s="6" t="str">
        <f>IF(O49=O32,"Data is internally consistent","Data is not consistent. Please check")</f>
        <v>Data is internally consistent</v>
      </c>
    </row>
    <row r="50" spans="2:16" s="1" customFormat="1" x14ac:dyDescent="0.3">
      <c r="B50" s="1" t="s">
        <v>21</v>
      </c>
      <c r="C50" s="17">
        <f>SUM(C36:C49)</f>
        <v>271170.00000000006</v>
      </c>
      <c r="D50" s="17">
        <f t="shared" ref="D50:N50" si="6">SUM(D36:D49)</f>
        <v>215999.99999999997</v>
      </c>
      <c r="E50" s="17">
        <f t="shared" si="6"/>
        <v>225450</v>
      </c>
      <c r="F50" s="17">
        <f t="shared" si="6"/>
        <v>265770</v>
      </c>
      <c r="G50" s="17">
        <f t="shared" si="6"/>
        <v>232200</v>
      </c>
      <c r="H50" s="17">
        <f t="shared" si="6"/>
        <v>218250.00000000006</v>
      </c>
      <c r="I50" s="17">
        <f t="shared" si="6"/>
        <v>282150</v>
      </c>
      <c r="J50" s="17">
        <f t="shared" si="6"/>
        <v>252449.99999999997</v>
      </c>
      <c r="K50" s="17">
        <f t="shared" si="6"/>
        <v>198899.99999999997</v>
      </c>
      <c r="L50" s="17">
        <f t="shared" si="6"/>
        <v>262170</v>
      </c>
      <c r="M50" s="17">
        <f t="shared" si="6"/>
        <v>232200</v>
      </c>
      <c r="N50" s="17">
        <f t="shared" si="6"/>
        <v>187650</v>
      </c>
    </row>
    <row r="51" spans="2:16" s="18" customFormat="1" x14ac:dyDescent="0.3">
      <c r="B51" s="18" t="s">
        <v>56</v>
      </c>
      <c r="C51" s="30" t="b">
        <f>C50=C32</f>
        <v>1</v>
      </c>
      <c r="D51" s="30" t="b">
        <f t="shared" ref="D51:N51" si="7">D50=D32</f>
        <v>1</v>
      </c>
      <c r="E51" s="30" t="b">
        <f t="shared" si="7"/>
        <v>1</v>
      </c>
      <c r="F51" s="30" t="b">
        <f t="shared" si="7"/>
        <v>1</v>
      </c>
      <c r="G51" s="30" t="b">
        <f t="shared" si="7"/>
        <v>1</v>
      </c>
      <c r="H51" s="30" t="b">
        <f t="shared" si="7"/>
        <v>1</v>
      </c>
      <c r="I51" s="30" t="b">
        <f t="shared" si="7"/>
        <v>1</v>
      </c>
      <c r="J51" s="30" t="b">
        <f t="shared" si="7"/>
        <v>1</v>
      </c>
      <c r="K51" s="30" t="b">
        <f t="shared" si="7"/>
        <v>1</v>
      </c>
      <c r="L51" s="30" t="b">
        <f t="shared" si="7"/>
        <v>1</v>
      </c>
      <c r="M51" s="30" t="b">
        <f t="shared" si="7"/>
        <v>1</v>
      </c>
      <c r="N51" s="30" t="b">
        <f t="shared" si="7"/>
        <v>1</v>
      </c>
    </row>
    <row r="52" spans="2:16" x14ac:dyDescent="0.3">
      <c r="C52" s="8"/>
      <c r="D52" s="8"/>
      <c r="E52" s="8"/>
      <c r="F52" s="8"/>
      <c r="G52" s="8"/>
      <c r="H52" s="8"/>
      <c r="I52" s="8"/>
      <c r="J52" s="8"/>
      <c r="K52" s="8"/>
      <c r="L52" s="8"/>
      <c r="M52" s="8"/>
      <c r="N52" s="8"/>
    </row>
    <row r="53" spans="2:16" x14ac:dyDescent="0.3">
      <c r="B53" s="1" t="s">
        <v>64</v>
      </c>
    </row>
    <row r="54" spans="2:16" x14ac:dyDescent="0.3">
      <c r="C54" s="22" t="str">
        <f t="shared" ref="C54:N54" si="8">C35</f>
        <v>Jan</v>
      </c>
      <c r="D54" s="22" t="str">
        <f t="shared" si="8"/>
        <v>Feb</v>
      </c>
      <c r="E54" s="22" t="str">
        <f t="shared" si="8"/>
        <v>Mar</v>
      </c>
      <c r="F54" s="22" t="str">
        <f t="shared" si="8"/>
        <v>Apr</v>
      </c>
      <c r="G54" s="22" t="str">
        <f t="shared" si="8"/>
        <v>May</v>
      </c>
      <c r="H54" s="22" t="str">
        <f t="shared" si="8"/>
        <v>Jun</v>
      </c>
      <c r="I54" s="22" t="str">
        <f t="shared" si="8"/>
        <v>Jul</v>
      </c>
      <c r="J54" s="22" t="str">
        <f t="shared" si="8"/>
        <v>Aug</v>
      </c>
      <c r="K54" s="22" t="str">
        <f t="shared" si="8"/>
        <v>Sep</v>
      </c>
      <c r="L54" s="22" t="str">
        <f t="shared" si="8"/>
        <v>Oct</v>
      </c>
      <c r="M54" s="22" t="str">
        <f t="shared" si="8"/>
        <v>Nov</v>
      </c>
      <c r="N54" s="22" t="str">
        <f t="shared" si="8"/>
        <v>Dec</v>
      </c>
    </row>
    <row r="55" spans="2:16" x14ac:dyDescent="0.3">
      <c r="B55" s="1" t="s">
        <v>22</v>
      </c>
      <c r="C55" s="20">
        <f>SUMIF($B$36:$B$49,"&lt;"&amp;Parameters!$D$16,C$36:C$49)*Parameters!$C$6</f>
        <v>2237332.6851031515</v>
      </c>
      <c r="D55" s="20">
        <f>SUMIF($B$36:$B$49,"&lt;"&amp;Parameters!$D$16,D$36:D$49)*Parameters!$C$6</f>
        <v>1782143.526135932</v>
      </c>
      <c r="E55" s="20">
        <f>SUMIF($B$36:$B$49,"&lt;"&amp;Parameters!$D$16,E$36:E$49)*Parameters!$C$6</f>
        <v>1860112.305404379</v>
      </c>
      <c r="F55" s="20">
        <f>SUMIF($B$36:$B$49,"&lt;"&amp;Parameters!$D$16,F$36:F$49)*Parameters!$C$6</f>
        <v>2192779.0969497529</v>
      </c>
      <c r="G55" s="20">
        <f>SUMIF($B$36:$B$49,"&lt;"&amp;Parameters!$D$16,G$36:G$49)*Parameters!$C$6</f>
        <v>1915804.290596127</v>
      </c>
      <c r="H55" s="20">
        <f>SUMIF($B$36:$B$49,"&lt;"&amp;Parameters!$D$16,H$36:H$49)*Parameters!$C$6</f>
        <v>1800707.521199848</v>
      </c>
      <c r="I55" s="20">
        <f>SUMIF($B$36:$B$49,"&lt;"&amp;Parameters!$D$16,I$36:I$49)*Parameters!$C$6</f>
        <v>2327924.9810150615</v>
      </c>
      <c r="J55" s="20">
        <f>SUMIF($B$36:$B$49,"&lt;"&amp;Parameters!$D$16,J$36:J$49)*Parameters!$C$6</f>
        <v>2082880.2461713706</v>
      </c>
      <c r="K55" s="20">
        <f>SUMIF($B$36:$B$49,"&lt;"&amp;Parameters!$D$16,K$36:K$49)*Parameters!$C$6</f>
        <v>1641057.1636501709</v>
      </c>
      <c r="L55" s="20">
        <f>SUMIF($B$36:$B$49,"&lt;"&amp;Parameters!$D$16,L$36:L$49)*Parameters!$C$6</f>
        <v>2163076.7048474876</v>
      </c>
      <c r="M55" s="20">
        <f>SUMIF($B$36:$B$49,"&lt;"&amp;Parameters!$D$16,M$36:M$49)*Parameters!$C$6</f>
        <v>1915804.290596127</v>
      </c>
      <c r="N55" s="20">
        <f>SUMIF($B$36:$B$49,"&lt;"&amp;Parameters!$D$16,N$36:N$49)*Parameters!$C$6</f>
        <v>1548237.1883305912</v>
      </c>
    </row>
    <row r="56" spans="2:16" x14ac:dyDescent="0.3">
      <c r="B56" s="1"/>
      <c r="C56" s="6"/>
      <c r="D56" s="6"/>
      <c r="E56" s="6"/>
      <c r="F56" s="6"/>
      <c r="G56" s="6"/>
      <c r="H56" s="6"/>
      <c r="I56" s="6"/>
      <c r="J56" s="6"/>
      <c r="K56" s="6"/>
      <c r="L56" s="6"/>
      <c r="M56" s="6"/>
      <c r="N56" s="6"/>
    </row>
    <row r="57" spans="2:16" x14ac:dyDescent="0.3">
      <c r="B57" s="1" t="s">
        <v>101</v>
      </c>
    </row>
    <row r="58" spans="2:16" x14ac:dyDescent="0.3">
      <c r="B58" s="23">
        <f>Data!B21</f>
        <v>1</v>
      </c>
      <c r="C58" s="34">
        <f>IF($B36&gt;=Parameters!$D$16,C36/$B36,0)*Parameters!$D$15</f>
        <v>0</v>
      </c>
      <c r="D58" s="34">
        <f>IF($B36&gt;=Parameters!$D$16,D36/$B36,0)*Parameters!$D$15</f>
        <v>0</v>
      </c>
      <c r="E58" s="34">
        <f>IF($B36&gt;=Parameters!$D$16,E36/$B36,0)*Parameters!$D$15</f>
        <v>0</v>
      </c>
      <c r="F58" s="34">
        <f>IF($B36&gt;=Parameters!$D$16,F36/$B36,0)*Parameters!$D$15</f>
        <v>0</v>
      </c>
      <c r="G58" s="34">
        <f>IF($B36&gt;=Parameters!$D$16,G36/$B36,0)*Parameters!$D$15</f>
        <v>0</v>
      </c>
      <c r="H58" s="34">
        <f>IF($B36&gt;=Parameters!$D$16,H36/$B36,0)*Parameters!$D$15</f>
        <v>0</v>
      </c>
      <c r="I58" s="34">
        <f>IF($B36&gt;=Parameters!$D$16,I36/$B36,0)*Parameters!$D$15</f>
        <v>0</v>
      </c>
      <c r="J58" s="34">
        <f>IF($B36&gt;=Parameters!$D$16,J36/$B36,0)*Parameters!$D$15</f>
        <v>0</v>
      </c>
      <c r="K58" s="34">
        <f>IF($B36&gt;=Parameters!$D$16,K36/$B36,0)*Parameters!$D$15</f>
        <v>0</v>
      </c>
      <c r="L58" s="34">
        <f>IF($B36&gt;=Parameters!$D$16,L36/$B36,0)*Parameters!$D$15</f>
        <v>0</v>
      </c>
      <c r="M58" s="34">
        <f>IF($B36&gt;=Parameters!$D$16,M36/$B36,0)*Parameters!$D$15</f>
        <v>0</v>
      </c>
      <c r="N58" s="34">
        <f>IF($B36&gt;=Parameters!$D$16,N36/$B36,0)*Parameters!$D$15</f>
        <v>0</v>
      </c>
    </row>
    <row r="59" spans="2:16" x14ac:dyDescent="0.3">
      <c r="B59" s="23">
        <f>Data!B22</f>
        <v>2</v>
      </c>
      <c r="C59" s="34">
        <f>IF($B37&gt;=Parameters!$D$16,C37/$B37,0)*Parameters!$D$15</f>
        <v>0</v>
      </c>
      <c r="D59" s="34">
        <f>IF($B37&gt;=Parameters!$D$16,D37/$B37,0)*Parameters!$D$15</f>
        <v>0</v>
      </c>
      <c r="E59" s="34">
        <f>IF($B37&gt;=Parameters!$D$16,E37/$B37,0)*Parameters!$D$15</f>
        <v>0</v>
      </c>
      <c r="F59" s="34">
        <f>IF($B37&gt;=Parameters!$D$16,F37/$B37,0)*Parameters!$D$15</f>
        <v>0</v>
      </c>
      <c r="G59" s="34">
        <f>IF($B37&gt;=Parameters!$D$16,G37/$B37,0)*Parameters!$D$15</f>
        <v>0</v>
      </c>
      <c r="H59" s="34">
        <f>IF($B37&gt;=Parameters!$D$16,H37/$B37,0)*Parameters!$D$15</f>
        <v>0</v>
      </c>
      <c r="I59" s="34">
        <f>IF($B37&gt;=Parameters!$D$16,I37/$B37,0)*Parameters!$D$15</f>
        <v>0</v>
      </c>
      <c r="J59" s="34">
        <f>IF($B37&gt;=Parameters!$D$16,J37/$B37,0)*Parameters!$D$15</f>
        <v>0</v>
      </c>
      <c r="K59" s="34">
        <f>IF($B37&gt;=Parameters!$D$16,K37/$B37,0)*Parameters!$D$15</f>
        <v>0</v>
      </c>
      <c r="L59" s="34">
        <f>IF($B37&gt;=Parameters!$D$16,L37/$B37,0)*Parameters!$D$15</f>
        <v>0</v>
      </c>
      <c r="M59" s="34">
        <f>IF($B37&gt;=Parameters!$D$16,M37/$B37,0)*Parameters!$D$15</f>
        <v>0</v>
      </c>
      <c r="N59" s="34">
        <f>IF($B37&gt;=Parameters!$D$16,N37/$B37,0)*Parameters!$D$15</f>
        <v>0</v>
      </c>
    </row>
    <row r="60" spans="2:16" x14ac:dyDescent="0.3">
      <c r="B60" s="23">
        <f>Data!B23</f>
        <v>3</v>
      </c>
      <c r="C60" s="34">
        <f>IF($B38&gt;=Parameters!$D$16,C38/$B38,0)*Parameters!$D$15</f>
        <v>0</v>
      </c>
      <c r="D60" s="34">
        <f>IF($B38&gt;=Parameters!$D$16,D38/$B38,0)*Parameters!$D$15</f>
        <v>0</v>
      </c>
      <c r="E60" s="34">
        <f>IF($B38&gt;=Parameters!$D$16,E38/$B38,0)*Parameters!$D$15</f>
        <v>0</v>
      </c>
      <c r="F60" s="34">
        <f>IF($B38&gt;=Parameters!$D$16,F38/$B38,0)*Parameters!$D$15</f>
        <v>0</v>
      </c>
      <c r="G60" s="34">
        <f>IF($B38&gt;=Parameters!$D$16,G38/$B38,0)*Parameters!$D$15</f>
        <v>0</v>
      </c>
      <c r="H60" s="34">
        <f>IF($B38&gt;=Parameters!$D$16,H38/$B38,0)*Parameters!$D$15</f>
        <v>0</v>
      </c>
      <c r="I60" s="34">
        <f>IF($B38&gt;=Parameters!$D$16,I38/$B38,0)*Parameters!$D$15</f>
        <v>0</v>
      </c>
      <c r="J60" s="34">
        <f>IF($B38&gt;=Parameters!$D$16,J38/$B38,0)*Parameters!$D$15</f>
        <v>0</v>
      </c>
      <c r="K60" s="34">
        <f>IF($B38&gt;=Parameters!$D$16,K38/$B38,0)*Parameters!$D$15</f>
        <v>0</v>
      </c>
      <c r="L60" s="34">
        <f>IF($B38&gt;=Parameters!$D$16,L38/$B38,0)*Parameters!$D$15</f>
        <v>0</v>
      </c>
      <c r="M60" s="34">
        <f>IF($B38&gt;=Parameters!$D$16,M38/$B38,0)*Parameters!$D$15</f>
        <v>0</v>
      </c>
      <c r="N60" s="34">
        <f>IF($B38&gt;=Parameters!$D$16,N38/$B38,0)*Parameters!$D$15</f>
        <v>0</v>
      </c>
    </row>
    <row r="61" spans="2:16" x14ac:dyDescent="0.3">
      <c r="B61" s="23">
        <f>Data!B24</f>
        <v>4</v>
      </c>
      <c r="C61" s="34">
        <f>IF($B39&gt;=Parameters!$D$16,C39/$B39,0)*Parameters!$D$15</f>
        <v>0</v>
      </c>
      <c r="D61" s="34">
        <f>IF($B39&gt;=Parameters!$D$16,D39/$B39,0)*Parameters!$D$15</f>
        <v>0</v>
      </c>
      <c r="E61" s="34">
        <f>IF($B39&gt;=Parameters!$D$16,E39/$B39,0)*Parameters!$D$15</f>
        <v>0</v>
      </c>
      <c r="F61" s="34">
        <f>IF($B39&gt;=Parameters!$D$16,F39/$B39,0)*Parameters!$D$15</f>
        <v>0</v>
      </c>
      <c r="G61" s="34">
        <f>IF($B39&gt;=Parameters!$D$16,G39/$B39,0)*Parameters!$D$15</f>
        <v>0</v>
      </c>
      <c r="H61" s="34">
        <f>IF($B39&gt;=Parameters!$D$16,H39/$B39,0)*Parameters!$D$15</f>
        <v>0</v>
      </c>
      <c r="I61" s="34">
        <f>IF($B39&gt;=Parameters!$D$16,I39/$B39,0)*Parameters!$D$15</f>
        <v>0</v>
      </c>
      <c r="J61" s="34">
        <f>IF($B39&gt;=Parameters!$D$16,J39/$B39,0)*Parameters!$D$15</f>
        <v>0</v>
      </c>
      <c r="K61" s="34">
        <f>IF($B39&gt;=Parameters!$D$16,K39/$B39,0)*Parameters!$D$15</f>
        <v>0</v>
      </c>
      <c r="L61" s="34">
        <f>IF($B39&gt;=Parameters!$D$16,L39/$B39,0)*Parameters!$D$15</f>
        <v>0</v>
      </c>
      <c r="M61" s="34">
        <f>IF($B39&gt;=Parameters!$D$16,M39/$B39,0)*Parameters!$D$15</f>
        <v>0</v>
      </c>
      <c r="N61" s="34">
        <f>IF($B39&gt;=Parameters!$D$16,N39/$B39,0)*Parameters!$D$15</f>
        <v>0</v>
      </c>
    </row>
    <row r="62" spans="2:16" x14ac:dyDescent="0.3">
      <c r="B62" s="23">
        <f>Data!B25</f>
        <v>5</v>
      </c>
      <c r="C62" s="34">
        <f>IF($B40&gt;=Parameters!$D$16,C40/$B40,0)*Parameters!$D$15</f>
        <v>571444.18428047083</v>
      </c>
      <c r="D62" s="34">
        <f>IF($B40&gt;=Parameters!$D$16,D40/$B40,0)*Parameters!$D$15</f>
        <v>455182.88824199466</v>
      </c>
      <c r="E62" s="34">
        <f>IF($B40&gt;=Parameters!$D$16,E40/$B40,0)*Parameters!$D$15</f>
        <v>475097.13960258191</v>
      </c>
      <c r="F62" s="34">
        <f>IF($B40&gt;=Parameters!$D$16,F40/$B40,0)*Parameters!$D$15</f>
        <v>560064.61207442102</v>
      </c>
      <c r="G62" s="34">
        <f>IF($B40&gt;=Parameters!$D$16,G40/$B40,0)*Parameters!$D$15</f>
        <v>489321.60486014426</v>
      </c>
      <c r="H62" s="34">
        <f>IF($B40&gt;=Parameters!$D$16,H40/$B40,0)*Parameters!$D$15</f>
        <v>459924.37666118215</v>
      </c>
      <c r="I62" s="34">
        <f>IF($B40&gt;=Parameters!$D$16,I40/$B40,0)*Parameters!$D$15</f>
        <v>594582.6477661056</v>
      </c>
      <c r="J62" s="34">
        <f>IF($B40&gt;=Parameters!$D$16,J40/$B40,0)*Parameters!$D$15</f>
        <v>531995.00063283136</v>
      </c>
      <c r="K62" s="34">
        <f>IF($B40&gt;=Parameters!$D$16,K40/$B40,0)*Parameters!$D$15</f>
        <v>419147.57625617011</v>
      </c>
      <c r="L62" s="34">
        <f>IF($B40&gt;=Parameters!$D$16,L40/$B40,0)*Parameters!$D$15</f>
        <v>552478.23060372099</v>
      </c>
      <c r="M62" s="34">
        <f>IF($B40&gt;=Parameters!$D$16,M40/$B40,0)*Parameters!$D$15</f>
        <v>489321.60486014426</v>
      </c>
      <c r="N62" s="34">
        <f>IF($B40&gt;=Parameters!$D$16,N40/$B40,0)*Parameters!$D$15</f>
        <v>395440.1341602329</v>
      </c>
    </row>
    <row r="63" spans="2:16" x14ac:dyDescent="0.3">
      <c r="B63" s="23">
        <f>Data!B26</f>
        <v>6</v>
      </c>
      <c r="C63" s="34">
        <f>IF($B41&gt;=Parameters!$D$16,C41/$B41,0)*Parameters!$D$15</f>
        <v>380962.78952031385</v>
      </c>
      <c r="D63" s="34">
        <f>IF($B41&gt;=Parameters!$D$16,D41/$B41,0)*Parameters!$D$15</f>
        <v>303455.25882799644</v>
      </c>
      <c r="E63" s="34">
        <f>IF($B41&gt;=Parameters!$D$16,E41/$B41,0)*Parameters!$D$15</f>
        <v>316731.42640172126</v>
      </c>
      <c r="F63" s="34">
        <f>IF($B41&gt;=Parameters!$D$16,F41/$B41,0)*Parameters!$D$15</f>
        <v>373376.40804961394</v>
      </c>
      <c r="G63" s="34">
        <f>IF($B41&gt;=Parameters!$D$16,G41/$B41,0)*Parameters!$D$15</f>
        <v>326214.40324009617</v>
      </c>
      <c r="H63" s="34">
        <f>IF($B41&gt;=Parameters!$D$16,H41/$B41,0)*Parameters!$D$15</f>
        <v>306616.25110745477</v>
      </c>
      <c r="I63" s="34">
        <f>IF($B41&gt;=Parameters!$D$16,I41/$B41,0)*Parameters!$D$15</f>
        <v>396388.43184407032</v>
      </c>
      <c r="J63" s="34">
        <f>IF($B41&gt;=Parameters!$D$16,J41/$B41,0)*Parameters!$D$15</f>
        <v>354663.33375522087</v>
      </c>
      <c r="K63" s="34">
        <f>IF($B41&gt;=Parameters!$D$16,K41/$B41,0)*Parameters!$D$15</f>
        <v>279431.71750411339</v>
      </c>
      <c r="L63" s="34">
        <f>IF($B41&gt;=Parameters!$D$16,L41/$B41,0)*Parameters!$D$15</f>
        <v>368318.82040248066</v>
      </c>
      <c r="M63" s="34">
        <f>IF($B41&gt;=Parameters!$D$16,M41/$B41,0)*Parameters!$D$15</f>
        <v>326214.40324009617</v>
      </c>
      <c r="N63" s="34">
        <f>IF($B41&gt;=Parameters!$D$16,N41/$B41,0)*Parameters!$D$15</f>
        <v>263626.75610682188</v>
      </c>
    </row>
    <row r="64" spans="2:16" x14ac:dyDescent="0.3">
      <c r="B64" s="23">
        <f>Data!B27</f>
        <v>7</v>
      </c>
      <c r="C64" s="34">
        <f>IF($B42&gt;=Parameters!$D$16,C42/$B42,0)*Parameters!$D$15</f>
        <v>190481.39476015692</v>
      </c>
      <c r="D64" s="34">
        <f>IF($B42&gt;=Parameters!$D$16,D42/$B42,0)*Parameters!$D$15</f>
        <v>151727.62941399822</v>
      </c>
      <c r="E64" s="34">
        <f>IF($B42&gt;=Parameters!$D$16,E42/$B42,0)*Parameters!$D$15</f>
        <v>158365.71320086063</v>
      </c>
      <c r="F64" s="34">
        <f>IF($B42&gt;=Parameters!$D$16,F42/$B42,0)*Parameters!$D$15</f>
        <v>186688.204024807</v>
      </c>
      <c r="G64" s="34">
        <f>IF($B42&gt;=Parameters!$D$16,G42/$B42,0)*Parameters!$D$15</f>
        <v>163107.20162004809</v>
      </c>
      <c r="H64" s="34">
        <f>IF($B42&gt;=Parameters!$D$16,H42/$B42,0)*Parameters!$D$15</f>
        <v>153308.12555372738</v>
      </c>
      <c r="I64" s="34">
        <f>IF($B42&gt;=Parameters!$D$16,I42/$B42,0)*Parameters!$D$15</f>
        <v>198194.21592203519</v>
      </c>
      <c r="J64" s="34">
        <f>IF($B42&gt;=Parameters!$D$16,J42/$B42,0)*Parameters!$D$15</f>
        <v>177331.66687761041</v>
      </c>
      <c r="K64" s="34">
        <f>IF($B42&gt;=Parameters!$D$16,K42/$B42,0)*Parameters!$D$15</f>
        <v>139715.85875205669</v>
      </c>
      <c r="L64" s="34">
        <f>IF($B42&gt;=Parameters!$D$16,L42/$B42,0)*Parameters!$D$15</f>
        <v>184159.41020124033</v>
      </c>
      <c r="M64" s="34">
        <f>IF($B42&gt;=Parameters!$D$16,M42/$B42,0)*Parameters!$D$15</f>
        <v>163107.20162004809</v>
      </c>
      <c r="N64" s="34">
        <f>IF($B42&gt;=Parameters!$D$16,N42/$B42,0)*Parameters!$D$15</f>
        <v>131813.37805341097</v>
      </c>
    </row>
    <row r="65" spans="2:14" x14ac:dyDescent="0.3">
      <c r="B65" s="23">
        <f>Data!B28</f>
        <v>8</v>
      </c>
      <c r="C65" s="34">
        <f>IF($B43&gt;=Parameters!$D$16,C43/$B43,0)*Parameters!$D$15</f>
        <v>38096.278952031389</v>
      </c>
      <c r="D65" s="34">
        <f>IF($B43&gt;=Parameters!$D$16,D43/$B43,0)*Parameters!$D$15</f>
        <v>30345.525882799648</v>
      </c>
      <c r="E65" s="34">
        <f>IF($B43&gt;=Parameters!$D$16,E43/$B43,0)*Parameters!$D$15</f>
        <v>31673.142640172133</v>
      </c>
      <c r="F65" s="34">
        <f>IF($B43&gt;=Parameters!$D$16,F43/$B43,0)*Parameters!$D$15</f>
        <v>37337.640804961396</v>
      </c>
      <c r="G65" s="34">
        <f>IF($B43&gt;=Parameters!$D$16,G43/$B43,0)*Parameters!$D$15</f>
        <v>32621.440324009618</v>
      </c>
      <c r="H65" s="34">
        <f>IF($B43&gt;=Parameters!$D$16,H43/$B43,0)*Parameters!$D$15</f>
        <v>30661.625110745474</v>
      </c>
      <c r="I65" s="34">
        <f>IF($B43&gt;=Parameters!$D$16,I43/$B43,0)*Parameters!$D$15</f>
        <v>39638.843184407044</v>
      </c>
      <c r="J65" s="34">
        <f>IF($B43&gt;=Parameters!$D$16,J43/$B43,0)*Parameters!$D$15</f>
        <v>35466.333375522088</v>
      </c>
      <c r="K65" s="34">
        <f>IF($B43&gt;=Parameters!$D$16,K43/$B43,0)*Parameters!$D$15</f>
        <v>27943.17175041134</v>
      </c>
      <c r="L65" s="34">
        <f>IF($B43&gt;=Parameters!$D$16,L43/$B43,0)*Parameters!$D$15</f>
        <v>36831.882040248071</v>
      </c>
      <c r="M65" s="34">
        <f>IF($B43&gt;=Parameters!$D$16,M43/$B43,0)*Parameters!$D$15</f>
        <v>32621.440324009618</v>
      </c>
      <c r="N65" s="34">
        <f>IF($B43&gt;=Parameters!$D$16,N43/$B43,0)*Parameters!$D$15</f>
        <v>26362.675610682196</v>
      </c>
    </row>
    <row r="66" spans="2:14" x14ac:dyDescent="0.3">
      <c r="B66" s="23">
        <f>Data!B29</f>
        <v>9</v>
      </c>
      <c r="C66" s="34">
        <f>IF($B44&gt;=Parameters!$D$16,C44/$B44,0)*Parameters!$D$15</f>
        <v>25397.519301354256</v>
      </c>
      <c r="D66" s="34">
        <f>IF($B44&gt;=Parameters!$D$16,D44/$B44,0)*Parameters!$D$15</f>
        <v>20230.350588533092</v>
      </c>
      <c r="E66" s="34">
        <f>IF($B44&gt;=Parameters!$D$16,E44/$B44,0)*Parameters!$D$15</f>
        <v>21115.428426781418</v>
      </c>
      <c r="F66" s="34">
        <f>IF($B44&gt;=Parameters!$D$16,F44/$B44,0)*Parameters!$D$15</f>
        <v>24891.76053664093</v>
      </c>
      <c r="G66" s="34">
        <f>IF($B44&gt;=Parameters!$D$16,G44/$B44,0)*Parameters!$D$15</f>
        <v>21747.626882673081</v>
      </c>
      <c r="H66" s="34">
        <f>IF($B44&gt;=Parameters!$D$16,H44/$B44,0)*Parameters!$D$15</f>
        <v>20441.083407163649</v>
      </c>
      <c r="I66" s="34">
        <f>IF($B44&gt;=Parameters!$D$16,I44/$B44,0)*Parameters!$D$15</f>
        <v>26425.895456271355</v>
      </c>
      <c r="J66" s="34">
        <f>IF($B44&gt;=Parameters!$D$16,J44/$B44,0)*Parameters!$D$15</f>
        <v>23644.222250348052</v>
      </c>
      <c r="K66" s="34">
        <f>IF($B44&gt;=Parameters!$D$16,K44/$B44,0)*Parameters!$D$15</f>
        <v>18628.781166940891</v>
      </c>
      <c r="L66" s="34">
        <f>IF($B44&gt;=Parameters!$D$16,L44/$B44,0)*Parameters!$D$15</f>
        <v>24554.588026832043</v>
      </c>
      <c r="M66" s="34">
        <f>IF($B44&gt;=Parameters!$D$16,M44/$B44,0)*Parameters!$D$15</f>
        <v>21747.626882673081</v>
      </c>
      <c r="N66" s="34">
        <f>IF($B44&gt;=Parameters!$D$16,N44/$B44,0)*Parameters!$D$15</f>
        <v>17575.117073788126</v>
      </c>
    </row>
    <row r="67" spans="2:14" x14ac:dyDescent="0.3">
      <c r="B67" s="23">
        <f>Data!B30</f>
        <v>10</v>
      </c>
      <c r="C67" s="34">
        <f>IF($B45&gt;=Parameters!$D$16,C45/$B45,0)*Parameters!$D$15</f>
        <v>7619.2557904062769</v>
      </c>
      <c r="D67" s="34">
        <f>IF($B45&gt;=Parameters!$D$16,D45/$B45,0)*Parameters!$D$15</f>
        <v>6069.1051765599295</v>
      </c>
      <c r="E67" s="34">
        <f>IF($B45&gt;=Parameters!$D$16,E45/$B45,0)*Parameters!$D$15</f>
        <v>6334.6285280344264</v>
      </c>
      <c r="F67" s="34">
        <f>IF($B45&gt;=Parameters!$D$16,F45/$B45,0)*Parameters!$D$15</f>
        <v>7467.5281609922795</v>
      </c>
      <c r="G67" s="34">
        <f>IF($B45&gt;=Parameters!$D$16,G45/$B45,0)*Parameters!$D$15</f>
        <v>6524.2880648019245</v>
      </c>
      <c r="H67" s="34">
        <f>IF($B45&gt;=Parameters!$D$16,H45/$B45,0)*Parameters!$D$15</f>
        <v>6132.3250221490944</v>
      </c>
      <c r="I67" s="34">
        <f>IF($B45&gt;=Parameters!$D$16,I45/$B45,0)*Parameters!$D$15</f>
        <v>7927.7686368814084</v>
      </c>
      <c r="J67" s="34">
        <f>IF($B45&gt;=Parameters!$D$16,J45/$B45,0)*Parameters!$D$15</f>
        <v>7093.266675104418</v>
      </c>
      <c r="K67" s="34">
        <f>IF($B45&gt;=Parameters!$D$16,K45/$B45,0)*Parameters!$D$15</f>
        <v>5588.6343500822686</v>
      </c>
      <c r="L67" s="34">
        <f>IF($B45&gt;=Parameters!$D$16,L45/$B45,0)*Parameters!$D$15</f>
        <v>7366.3764080496148</v>
      </c>
      <c r="M67" s="34">
        <f>IF($B45&gt;=Parameters!$D$16,M45/$B45,0)*Parameters!$D$15</f>
        <v>6524.2880648019245</v>
      </c>
      <c r="N67" s="34">
        <f>IF($B45&gt;=Parameters!$D$16,N45/$B45,0)*Parameters!$D$15</f>
        <v>5272.535122136439</v>
      </c>
    </row>
    <row r="68" spans="2:14" x14ac:dyDescent="0.3">
      <c r="B68" s="23">
        <f>Data!B31</f>
        <v>11</v>
      </c>
      <c r="C68" s="34">
        <f>IF($B46&gt;=Parameters!$D$16,C46/$B46,0)*Parameters!$D$15</f>
        <v>7619.2557904062796</v>
      </c>
      <c r="D68" s="34">
        <f>IF($B46&gt;=Parameters!$D$16,D46/$B46,0)*Parameters!$D$15</f>
        <v>6069.1051765599295</v>
      </c>
      <c r="E68" s="34">
        <f>IF($B46&gt;=Parameters!$D$16,E46/$B46,0)*Parameters!$D$15</f>
        <v>6334.6285280344264</v>
      </c>
      <c r="F68" s="34">
        <f>IF($B46&gt;=Parameters!$D$16,F46/$B46,0)*Parameters!$D$15</f>
        <v>7467.5281609922795</v>
      </c>
      <c r="G68" s="34">
        <f>IF($B46&gt;=Parameters!$D$16,G46/$B46,0)*Parameters!$D$15</f>
        <v>6524.2880648019245</v>
      </c>
      <c r="H68" s="34">
        <f>IF($B46&gt;=Parameters!$D$16,H46/$B46,0)*Parameters!$D$15</f>
        <v>6132.3250221490953</v>
      </c>
      <c r="I68" s="34">
        <f>IF($B46&gt;=Parameters!$D$16,I46/$B46,0)*Parameters!$D$15</f>
        <v>7927.7686368814075</v>
      </c>
      <c r="J68" s="34">
        <f>IF($B46&gt;=Parameters!$D$16,J46/$B46,0)*Parameters!$D$15</f>
        <v>7093.2666751044171</v>
      </c>
      <c r="K68" s="34">
        <f>IF($B46&gt;=Parameters!$D$16,K46/$B46,0)*Parameters!$D$15</f>
        <v>5588.6343500822686</v>
      </c>
      <c r="L68" s="34">
        <f>IF($B46&gt;=Parameters!$D$16,L46/$B46,0)*Parameters!$D$15</f>
        <v>7366.3764080496157</v>
      </c>
      <c r="M68" s="34">
        <f>IF($B46&gt;=Parameters!$D$16,M46/$B46,0)*Parameters!$D$15</f>
        <v>6524.2880648019245</v>
      </c>
      <c r="N68" s="34">
        <f>IF($B46&gt;=Parameters!$D$16,N46/$B46,0)*Parameters!$D$15</f>
        <v>5272.535122136439</v>
      </c>
    </row>
    <row r="69" spans="2:14" x14ac:dyDescent="0.3">
      <c r="B69" s="23">
        <f>Data!B32</f>
        <v>12</v>
      </c>
      <c r="C69" s="34">
        <f>IF($B47&gt;=Parameters!$D$16,C47/$B47,0)*Parameters!$D$15</f>
        <v>6349.3798253385648</v>
      </c>
      <c r="D69" s="34">
        <f>IF($B47&gt;=Parameters!$D$16,D47/$B47,0)*Parameters!$D$15</f>
        <v>5057.587647133274</v>
      </c>
      <c r="E69" s="34">
        <f>IF($B47&gt;=Parameters!$D$16,E47/$B47,0)*Parameters!$D$15</f>
        <v>5278.8571066953564</v>
      </c>
      <c r="F69" s="34">
        <f>IF($B47&gt;=Parameters!$D$16,F47/$B47,0)*Parameters!$D$15</f>
        <v>6222.9401341602324</v>
      </c>
      <c r="G69" s="34">
        <f>IF($B47&gt;=Parameters!$D$16,G47/$B47,0)*Parameters!$D$15</f>
        <v>5436.9067206682703</v>
      </c>
      <c r="H69" s="34">
        <f>IF($B47&gt;=Parameters!$D$16,H47/$B47,0)*Parameters!$D$15</f>
        <v>5110.2708517909123</v>
      </c>
      <c r="I69" s="34">
        <f>IF($B47&gt;=Parameters!$D$16,I47/$B47,0)*Parameters!$D$15</f>
        <v>6606.4738640678406</v>
      </c>
      <c r="J69" s="34">
        <f>IF($B47&gt;=Parameters!$D$16,J47/$B47,0)*Parameters!$D$15</f>
        <v>5911.0555625870156</v>
      </c>
      <c r="K69" s="34">
        <f>IF($B47&gt;=Parameters!$D$16,K47/$B47,0)*Parameters!$D$15</f>
        <v>4657.1952917352237</v>
      </c>
      <c r="L69" s="34">
        <f>IF($B47&gt;=Parameters!$D$16,L47/$B47,0)*Parameters!$D$15</f>
        <v>6138.6470067080127</v>
      </c>
      <c r="M69" s="34">
        <f>IF($B47&gt;=Parameters!$D$16,M47/$B47,0)*Parameters!$D$15</f>
        <v>5436.9067206682703</v>
      </c>
      <c r="N69" s="34">
        <f>IF($B47&gt;=Parameters!$D$16,N47/$B47,0)*Parameters!$D$15</f>
        <v>4393.7792684470323</v>
      </c>
    </row>
    <row r="70" spans="2:14" x14ac:dyDescent="0.3">
      <c r="B70" s="23">
        <f>Data!B33</f>
        <v>13</v>
      </c>
      <c r="C70" s="34">
        <f>IF($B48&gt;=Parameters!$D$16,C48/$B48,0)*Parameters!$D$15</f>
        <v>3809.6278952031389</v>
      </c>
      <c r="D70" s="34">
        <f>IF($B48&gt;=Parameters!$D$16,D48/$B48,0)*Parameters!$D$15</f>
        <v>3034.5525882799643</v>
      </c>
      <c r="E70" s="34">
        <f>IF($B48&gt;=Parameters!$D$16,E48/$B48,0)*Parameters!$D$15</f>
        <v>3167.3142640172127</v>
      </c>
      <c r="F70" s="34">
        <f>IF($B48&gt;=Parameters!$D$16,F48/$B48,0)*Parameters!$D$15</f>
        <v>3733.7640804961397</v>
      </c>
      <c r="G70" s="34">
        <f>IF($B48&gt;=Parameters!$D$16,G48/$B48,0)*Parameters!$D$15</f>
        <v>3262.1440324009614</v>
      </c>
      <c r="H70" s="34">
        <f>IF($B48&gt;=Parameters!$D$16,H48/$B48,0)*Parameters!$D$15</f>
        <v>3066.1625110745472</v>
      </c>
      <c r="I70" s="34">
        <f>IF($B48&gt;=Parameters!$D$16,I48/$B48,0)*Parameters!$D$15</f>
        <v>3963.8843184407037</v>
      </c>
      <c r="J70" s="34">
        <f>IF($B48&gt;=Parameters!$D$16,J48/$B48,0)*Parameters!$D$15</f>
        <v>3546.6333375522086</v>
      </c>
      <c r="K70" s="34">
        <f>IF($B48&gt;=Parameters!$D$16,K48/$B48,0)*Parameters!$D$15</f>
        <v>2794.3171750411343</v>
      </c>
      <c r="L70" s="34">
        <f>IF($B48&gt;=Parameters!$D$16,L48/$B48,0)*Parameters!$D$15</f>
        <v>3683.188204024807</v>
      </c>
      <c r="M70" s="34">
        <f>IF($B48&gt;=Parameters!$D$16,M48/$B48,0)*Parameters!$D$15</f>
        <v>3262.1440324009614</v>
      </c>
      <c r="N70" s="34">
        <f>IF($B48&gt;=Parameters!$D$16,N48/$B48,0)*Parameters!$D$15</f>
        <v>2636.2675610682195</v>
      </c>
    </row>
    <row r="71" spans="2:14" x14ac:dyDescent="0.3">
      <c r="B71" s="23">
        <f>Data!B34</f>
        <v>14</v>
      </c>
      <c r="C71" s="34">
        <f>IF($B49&gt;=Parameters!$D$16,C49/$B49,0)*Parameters!$D$15</f>
        <v>2539.7519301354259</v>
      </c>
      <c r="D71" s="34">
        <f>IF($B49&gt;=Parameters!$D$16,D49/$B49,0)*Parameters!$D$15</f>
        <v>2023.0350588533099</v>
      </c>
      <c r="E71" s="34">
        <f>IF($B49&gt;=Parameters!$D$16,E49/$B49,0)*Parameters!$D$15</f>
        <v>2111.5428426781423</v>
      </c>
      <c r="F71" s="34">
        <f>IF($B49&gt;=Parameters!$D$16,F49/$B49,0)*Parameters!$D$15</f>
        <v>2489.1760536640932</v>
      </c>
      <c r="G71" s="34">
        <f>IF($B49&gt;=Parameters!$D$16,G49/$B49,0)*Parameters!$D$15</f>
        <v>2174.762688267308</v>
      </c>
      <c r="H71" s="34">
        <f>IF($B49&gt;=Parameters!$D$16,H49/$B49,0)*Parameters!$D$15</f>
        <v>2044.1083407163649</v>
      </c>
      <c r="I71" s="34">
        <f>IF($B49&gt;=Parameters!$D$16,I49/$B49,0)*Parameters!$D$15</f>
        <v>2642.589545627136</v>
      </c>
      <c r="J71" s="34">
        <f>IF($B49&gt;=Parameters!$D$16,J49/$B49,0)*Parameters!$D$15</f>
        <v>2364.4222250348057</v>
      </c>
      <c r="K71" s="34">
        <f>IF($B49&gt;=Parameters!$D$16,K49/$B49,0)*Parameters!$D$15</f>
        <v>1862.8781166940896</v>
      </c>
      <c r="L71" s="34">
        <f>IF($B49&gt;=Parameters!$D$16,L49/$B49,0)*Parameters!$D$15</f>
        <v>2455.4588026832048</v>
      </c>
      <c r="M71" s="34">
        <f>IF($B49&gt;=Parameters!$D$16,M49/$B49,0)*Parameters!$D$15</f>
        <v>2174.762688267308</v>
      </c>
      <c r="N71" s="34">
        <f>IF($B49&gt;=Parameters!$D$16,N49/$B49,0)*Parameters!$D$15</f>
        <v>1757.5117073788128</v>
      </c>
    </row>
    <row r="72" spans="2:14" x14ac:dyDescent="0.3">
      <c r="B72" s="1" t="s">
        <v>21</v>
      </c>
      <c r="C72" s="9">
        <f>SUM(C58:C71)</f>
        <v>1234319.4380458172</v>
      </c>
      <c r="D72" s="9">
        <f t="shared" ref="D72:N72" si="9">SUM(D58:D71)</f>
        <v>983195.03860270837</v>
      </c>
      <c r="E72" s="9">
        <f t="shared" si="9"/>
        <v>1026209.8215415769</v>
      </c>
      <c r="F72" s="9">
        <f t="shared" si="9"/>
        <v>1209739.5620807493</v>
      </c>
      <c r="G72" s="9">
        <f t="shared" si="9"/>
        <v>1056934.6664979118</v>
      </c>
      <c r="H72" s="9">
        <f t="shared" si="9"/>
        <v>993436.65358815342</v>
      </c>
      <c r="I72" s="9">
        <f t="shared" si="9"/>
        <v>1284298.5191747879</v>
      </c>
      <c r="J72" s="9">
        <f t="shared" si="9"/>
        <v>1149109.2013669156</v>
      </c>
      <c r="K72" s="9">
        <f t="shared" si="9"/>
        <v>905358.76471332752</v>
      </c>
      <c r="L72" s="9">
        <f t="shared" si="9"/>
        <v>1193352.9781040375</v>
      </c>
      <c r="M72" s="9">
        <f t="shared" si="9"/>
        <v>1056934.6664979118</v>
      </c>
      <c r="N72" s="9">
        <f t="shared" si="9"/>
        <v>854150.68978610297</v>
      </c>
    </row>
    <row r="74" spans="2:14" x14ac:dyDescent="0.3">
      <c r="B74" s="1" t="s">
        <v>58</v>
      </c>
    </row>
    <row r="75" spans="2:14" ht="28.8" x14ac:dyDescent="0.3">
      <c r="B75" s="26" t="s">
        <v>57</v>
      </c>
      <c r="C75" s="22" t="str">
        <f t="shared" ref="C75:N75" si="10">C54</f>
        <v>Jan</v>
      </c>
      <c r="D75" s="22" t="str">
        <f t="shared" si="10"/>
        <v>Feb</v>
      </c>
      <c r="E75" s="22" t="str">
        <f t="shared" si="10"/>
        <v>Mar</v>
      </c>
      <c r="F75" s="22" t="str">
        <f t="shared" si="10"/>
        <v>Apr</v>
      </c>
      <c r="G75" s="22" t="str">
        <f t="shared" si="10"/>
        <v>May</v>
      </c>
      <c r="H75" s="22" t="str">
        <f t="shared" si="10"/>
        <v>Jun</v>
      </c>
      <c r="I75" s="22" t="str">
        <f t="shared" si="10"/>
        <v>Jul</v>
      </c>
      <c r="J75" s="22" t="str">
        <f t="shared" si="10"/>
        <v>Aug</v>
      </c>
      <c r="K75" s="22" t="str">
        <f t="shared" si="10"/>
        <v>Sep</v>
      </c>
      <c r="L75" s="22" t="str">
        <f t="shared" si="10"/>
        <v>Oct</v>
      </c>
      <c r="M75" s="22" t="str">
        <f t="shared" si="10"/>
        <v>Nov</v>
      </c>
      <c r="N75" s="22" t="str">
        <f t="shared" si="10"/>
        <v>Dec</v>
      </c>
    </row>
    <row r="76" spans="2:14" x14ac:dyDescent="0.3">
      <c r="B76" s="23">
        <f t="shared" ref="B76:B89" si="11">B36</f>
        <v>1</v>
      </c>
      <c r="C76" s="20">
        <f>C36*Data_checks!$D44*Parameters!$C$7*IF($B76&lt;Parameters!$D$16,1,(1+Parameters!$D$17)*(1-Parameters!$D$18))</f>
        <v>86467.422355381525</v>
      </c>
      <c r="D76" s="20">
        <f>D36*Data_checks!$D44*Parameters!$C$7*IF($B76&lt;Parameters!$D$16,1,(1+Parameters!$D$17)*(1-Parameters!$D$18))</f>
        <v>68875.477481883732</v>
      </c>
      <c r="E76" s="20">
        <f>E36*Data_checks!$D44*Parameters!$C$7*IF($B76&lt;Parameters!$D$16,1,(1+Parameters!$D$17)*(1-Parameters!$D$18))</f>
        <v>71888.779621716138</v>
      </c>
      <c r="F76" s="20">
        <f>F36*Data_checks!$D44*Parameters!$C$7*IF($B76&lt;Parameters!$D$16,1,(1+Parameters!$D$17)*(1-Parameters!$D$18))</f>
        <v>84745.535418334446</v>
      </c>
      <c r="G76" s="20">
        <f>G36*Data_checks!$D44*Parameters!$C$7*IF($B76&lt;Parameters!$D$16,1,(1+Parameters!$D$17)*(1-Parameters!$D$18))</f>
        <v>74041.138293024997</v>
      </c>
      <c r="H76" s="20">
        <f>H36*Data_checks!$D44*Parameters!$C$7*IF($B76&lt;Parameters!$D$16,1,(1+Parameters!$D$17)*(1-Parameters!$D$18))</f>
        <v>69592.930372320014</v>
      </c>
      <c r="I76" s="20">
        <f>I36*Data_checks!$D44*Parameters!$C$7*IF($B76&lt;Parameters!$D$16,1,(1+Parameters!$D$17)*(1-Parameters!$D$18))</f>
        <v>89968.592460710614</v>
      </c>
      <c r="J76" s="20">
        <f>J36*Data_checks!$D44*Parameters!$C$7*IF($B76&lt;Parameters!$D$16,1,(1+Parameters!$D$17)*(1-Parameters!$D$18))</f>
        <v>80498.214306951602</v>
      </c>
      <c r="K76" s="20">
        <f>K36*Data_checks!$D44*Parameters!$C$7*IF($B76&lt;Parameters!$D$16,1,(1+Parameters!$D$17)*(1-Parameters!$D$18))</f>
        <v>63422.835514567938</v>
      </c>
      <c r="L76" s="20">
        <f>L36*Data_checks!$D44*Parameters!$C$7*IF($B76&lt;Parameters!$D$16,1,(1+Parameters!$D$17)*(1-Parameters!$D$18))</f>
        <v>83597.61079363637</v>
      </c>
      <c r="M76" s="20">
        <f>M36*Data_checks!$D44*Parameters!$C$7*IF($B76&lt;Parameters!$D$16,1,(1+Parameters!$D$17)*(1-Parameters!$D$18))</f>
        <v>74041.138293024997</v>
      </c>
      <c r="N76" s="20">
        <f>N36*Data_checks!$D44*Parameters!$C$7*IF($B76&lt;Parameters!$D$16,1,(1+Parameters!$D$17)*(1-Parameters!$D$18))</f>
        <v>59835.571062386487</v>
      </c>
    </row>
    <row r="77" spans="2:14" x14ac:dyDescent="0.3">
      <c r="B77" s="23">
        <f t="shared" si="11"/>
        <v>2</v>
      </c>
      <c r="C77" s="20">
        <f>C37*Data_checks!$D45*Parameters!$C$7*IF($B77&lt;Parameters!$D$16,1,(1+Parameters!$D$17)*(1-Parameters!$D$18))</f>
        <v>327719.09347520693</v>
      </c>
      <c r="D77" s="20">
        <f>D37*Data_checks!$D45*Parameters!$C$7*IF($B77&lt;Parameters!$D$16,1,(1+Parameters!$D$17)*(1-Parameters!$D$18))</f>
        <v>261044.08375057968</v>
      </c>
      <c r="E77" s="20">
        <f>E37*Data_checks!$D45*Parameters!$C$7*IF($B77&lt;Parameters!$D$16,1,(1+Parameters!$D$17)*(1-Parameters!$D$18))</f>
        <v>272464.76241466752</v>
      </c>
      <c r="F77" s="20">
        <f>F37*Data_checks!$D45*Parameters!$C$7*IF($B77&lt;Parameters!$D$16,1,(1+Parameters!$D$17)*(1-Parameters!$D$18))</f>
        <v>321192.99138144241</v>
      </c>
      <c r="G77" s="20">
        <f>G37*Data_checks!$D45*Parameters!$C$7*IF($B77&lt;Parameters!$D$16,1,(1+Parameters!$D$17)*(1-Parameters!$D$18))</f>
        <v>280622.39003187319</v>
      </c>
      <c r="H77" s="20">
        <f>H37*Data_checks!$D45*Parameters!$C$7*IF($B77&lt;Parameters!$D$16,1,(1+Parameters!$D$17)*(1-Parameters!$D$18))</f>
        <v>263763.29295631486</v>
      </c>
      <c r="I77" s="20">
        <f>I37*Data_checks!$D45*Parameters!$C$7*IF($B77&lt;Parameters!$D$16,1,(1+Parameters!$D$17)*(1-Parameters!$D$18))</f>
        <v>340988.83439919475</v>
      </c>
      <c r="J77" s="20">
        <f>J37*Data_checks!$D45*Parameters!$C$7*IF($B77&lt;Parameters!$D$16,1,(1+Parameters!$D$17)*(1-Parameters!$D$18))</f>
        <v>305095.27288349002</v>
      </c>
      <c r="K77" s="20">
        <f>K37*Data_checks!$D45*Parameters!$C$7*IF($B77&lt;Parameters!$D$16,1,(1+Parameters!$D$17)*(1-Parameters!$D$18))</f>
        <v>240378.09378699216</v>
      </c>
      <c r="L77" s="20">
        <f>L37*Data_checks!$D45*Parameters!$C$7*IF($B77&lt;Parameters!$D$16,1,(1+Parameters!$D$17)*(1-Parameters!$D$18))</f>
        <v>316842.25665226614</v>
      </c>
      <c r="M77" s="20">
        <f>M37*Data_checks!$D45*Parameters!$C$7*IF($B77&lt;Parameters!$D$16,1,(1+Parameters!$D$17)*(1-Parameters!$D$18))</f>
        <v>280622.39003187319</v>
      </c>
      <c r="N77" s="20">
        <f>N37*Data_checks!$D45*Parameters!$C$7*IF($B77&lt;Parameters!$D$16,1,(1+Parameters!$D$17)*(1-Parameters!$D$18))</f>
        <v>226782.0477583161</v>
      </c>
    </row>
    <row r="78" spans="2:14" x14ac:dyDescent="0.3">
      <c r="B78" s="23">
        <f t="shared" si="11"/>
        <v>3</v>
      </c>
      <c r="C78" s="20">
        <f>C38*Data_checks!$D46*Parameters!$C$7*IF($B78&lt;Parameters!$D$16,1,(1+Parameters!$D$17)*(1-Parameters!$D$18))</f>
        <v>340323.67399348418</v>
      </c>
      <c r="D78" s="20">
        <f>D38*Data_checks!$D46*Parameters!$C$7*IF($B78&lt;Parameters!$D$16,1,(1+Parameters!$D$17)*(1-Parameters!$D$18))</f>
        <v>271084.24081790971</v>
      </c>
      <c r="E78" s="20">
        <f>E38*Data_checks!$D46*Parameters!$C$7*IF($B78&lt;Parameters!$D$16,1,(1+Parameters!$D$17)*(1-Parameters!$D$18))</f>
        <v>282944.17635369324</v>
      </c>
      <c r="F78" s="20">
        <f>F38*Data_checks!$D46*Parameters!$C$7*IF($B78&lt;Parameters!$D$16,1,(1+Parameters!$D$17)*(1-Parameters!$D$18))</f>
        <v>333546.56797303638</v>
      </c>
      <c r="G78" s="20">
        <f>G38*Data_checks!$D46*Parameters!$C$7*IF($B78&lt;Parameters!$D$16,1,(1+Parameters!$D$17)*(1-Parameters!$D$18))</f>
        <v>291415.55887925299</v>
      </c>
      <c r="H78" s="20">
        <f>H38*Data_checks!$D46*Parameters!$C$7*IF($B78&lt;Parameters!$D$16,1,(1+Parameters!$D$17)*(1-Parameters!$D$18))</f>
        <v>273908.03499309625</v>
      </c>
      <c r="I78" s="20">
        <f>I38*Data_checks!$D46*Parameters!$C$7*IF($B78&lt;Parameters!$D$16,1,(1+Parameters!$D$17)*(1-Parameters!$D$18))</f>
        <v>354103.78956839454</v>
      </c>
      <c r="J78" s="20">
        <f>J38*Data_checks!$D46*Parameters!$C$7*IF($B78&lt;Parameters!$D$16,1,(1+Parameters!$D$17)*(1-Parameters!$D$18))</f>
        <v>316829.706455932</v>
      </c>
      <c r="K78" s="20">
        <f>K38*Data_checks!$D46*Parameters!$C$7*IF($B78&lt;Parameters!$D$16,1,(1+Parameters!$D$17)*(1-Parameters!$D$18))</f>
        <v>249623.4050864919</v>
      </c>
      <c r="L78" s="20">
        <f>L38*Data_checks!$D46*Parameters!$C$7*IF($B78&lt;Parameters!$D$16,1,(1+Parameters!$D$17)*(1-Parameters!$D$18))</f>
        <v>329028.49729273794</v>
      </c>
      <c r="M78" s="20">
        <f>M38*Data_checks!$D46*Parameters!$C$7*IF($B78&lt;Parameters!$D$16,1,(1+Parameters!$D$17)*(1-Parameters!$D$18))</f>
        <v>291415.55887925299</v>
      </c>
      <c r="N78" s="20">
        <f>N38*Data_checks!$D46*Parameters!$C$7*IF($B78&lt;Parameters!$D$16,1,(1+Parameters!$D$17)*(1-Parameters!$D$18))</f>
        <v>235504.43421055906</v>
      </c>
    </row>
    <row r="79" spans="2:14" x14ac:dyDescent="0.3">
      <c r="B79" s="23">
        <f t="shared" si="11"/>
        <v>4</v>
      </c>
      <c r="C79" s="20">
        <f>C39*Data_checks!$D47*Parameters!$C$7*IF($B79&lt;Parameters!$D$16,1,(1+Parameters!$D$17)*(1-Parameters!$D$18))</f>
        <v>441710.91001139092</v>
      </c>
      <c r="D79" s="20">
        <f>D39*Data_checks!$D47*Parameters!$C$7*IF($B79&lt;Parameters!$D$16,1,(1+Parameters!$D$17)*(1-Parameters!$D$18))</f>
        <v>351844.07037083909</v>
      </c>
      <c r="E79" s="20">
        <f>E39*Data_checks!$D47*Parameters!$C$7*IF($B79&lt;Parameters!$D$16,1,(1+Parameters!$D$17)*(1-Parameters!$D$18))</f>
        <v>367237.24844956328</v>
      </c>
      <c r="F79" s="20">
        <f>F39*Data_checks!$D47*Parameters!$C$7*IF($B79&lt;Parameters!$D$16,1,(1+Parameters!$D$17)*(1-Parameters!$D$18))</f>
        <v>432914.80825212004</v>
      </c>
      <c r="G79" s="20">
        <f>G39*Data_checks!$D47*Parameters!$C$7*IF($B79&lt;Parameters!$D$16,1,(1+Parameters!$D$17)*(1-Parameters!$D$18))</f>
        <v>378232.37564865209</v>
      </c>
      <c r="H79" s="20">
        <f>H39*Data_checks!$D47*Parameters!$C$7*IF($B79&lt;Parameters!$D$16,1,(1+Parameters!$D$17)*(1-Parameters!$D$18))</f>
        <v>355509.11277053534</v>
      </c>
      <c r="I79" s="20">
        <f>I39*Data_checks!$D47*Parameters!$C$7*IF($B79&lt;Parameters!$D$16,1,(1+Parameters!$D$17)*(1-Parameters!$D$18))</f>
        <v>459596.31692190864</v>
      </c>
      <c r="J79" s="20">
        <f>J39*Data_checks!$D47*Parameters!$C$7*IF($B79&lt;Parameters!$D$16,1,(1+Parameters!$D$17)*(1-Parameters!$D$18))</f>
        <v>411217.75724591827</v>
      </c>
      <c r="K79" s="20">
        <f>K39*Data_checks!$D47*Parameters!$C$7*IF($B79&lt;Parameters!$D$16,1,(1+Parameters!$D$17)*(1-Parameters!$D$18))</f>
        <v>323989.74813314772</v>
      </c>
      <c r="L79" s="20">
        <f>L39*Data_checks!$D47*Parameters!$C$7*IF($B79&lt;Parameters!$D$16,1,(1+Parameters!$D$17)*(1-Parameters!$D$18))</f>
        <v>427050.74041260604</v>
      </c>
      <c r="M79" s="20">
        <f>M39*Data_checks!$D47*Parameters!$C$7*IF($B79&lt;Parameters!$D$16,1,(1+Parameters!$D$17)*(1-Parameters!$D$18))</f>
        <v>378232.37564865209</v>
      </c>
      <c r="N79" s="20">
        <f>N39*Data_checks!$D47*Parameters!$C$7*IF($B79&lt;Parameters!$D$16,1,(1+Parameters!$D$17)*(1-Parameters!$D$18))</f>
        <v>305664.53613466653</v>
      </c>
    </row>
    <row r="80" spans="2:14" x14ac:dyDescent="0.3">
      <c r="B80" s="23">
        <f t="shared" si="11"/>
        <v>5</v>
      </c>
      <c r="C80" s="20">
        <f>C40*Data_checks!$D48*Parameters!$C$7*IF($B80&lt;Parameters!$D$16,1,(1+Parameters!$D$17)*(1-Parameters!$D$18))</f>
        <v>321089.85381597269</v>
      </c>
      <c r="D80" s="20">
        <f>D40*Data_checks!$D48*Parameters!$C$7*IF($B80&lt;Parameters!$D$16,1,(1+Parameters!$D$17)*(1-Parameters!$D$18))</f>
        <v>255763.57423110999</v>
      </c>
      <c r="E80" s="20">
        <f>E40*Data_checks!$D48*Parameters!$C$7*IF($B80&lt;Parameters!$D$16,1,(1+Parameters!$D$17)*(1-Parameters!$D$18))</f>
        <v>266953.23060372105</v>
      </c>
      <c r="F80" s="20">
        <f>F40*Data_checks!$D48*Parameters!$C$7*IF($B80&lt;Parameters!$D$16,1,(1+Parameters!$D$17)*(1-Parameters!$D$18))</f>
        <v>314695.76446019491</v>
      </c>
      <c r="G80" s="20">
        <f>G40*Data_checks!$D48*Parameters!$C$7*IF($B80&lt;Parameters!$D$16,1,(1+Parameters!$D$17)*(1-Parameters!$D$18))</f>
        <v>274945.84229844325</v>
      </c>
      <c r="H80" s="20">
        <f>H40*Data_checks!$D48*Parameters!$C$7*IF($B80&lt;Parameters!$D$16,1,(1+Parameters!$D$17)*(1-Parameters!$D$18))</f>
        <v>258427.77812935069</v>
      </c>
      <c r="I80" s="20">
        <f>I40*Data_checks!$D48*Parameters!$C$7*IF($B80&lt;Parameters!$D$16,1,(1+Parameters!$D$17)*(1-Parameters!$D$18))</f>
        <v>334091.16883938742</v>
      </c>
      <c r="J80" s="20">
        <f>J40*Data_checks!$D48*Parameters!$C$7*IF($B80&lt;Parameters!$D$16,1,(1+Parameters!$D$17)*(1-Parameters!$D$18))</f>
        <v>298923.67738260981</v>
      </c>
      <c r="K80" s="20">
        <f>K40*Data_checks!$D48*Parameters!$C$7*IF($B80&lt;Parameters!$D$16,1,(1+Parameters!$D$17)*(1-Parameters!$D$18))</f>
        <v>235515.62460448046</v>
      </c>
      <c r="L80" s="20">
        <f>L40*Data_checks!$D48*Parameters!$C$7*IF($B80&lt;Parameters!$D$16,1,(1+Parameters!$D$17)*(1-Parameters!$D$18))</f>
        <v>310433.03822300973</v>
      </c>
      <c r="M80" s="20">
        <f>M40*Data_checks!$D48*Parameters!$C$7*IF($B80&lt;Parameters!$D$16,1,(1+Parameters!$D$17)*(1-Parameters!$D$18))</f>
        <v>274945.84229844325</v>
      </c>
      <c r="N80" s="20">
        <f>N40*Data_checks!$D48*Parameters!$C$7*IF($B80&lt;Parameters!$D$16,1,(1+Parameters!$D$17)*(1-Parameters!$D$18))</f>
        <v>222194.6051132768</v>
      </c>
    </row>
    <row r="81" spans="2:14" x14ac:dyDescent="0.3">
      <c r="B81" s="23">
        <f t="shared" si="11"/>
        <v>6</v>
      </c>
      <c r="C81" s="20">
        <f>C41*Data_checks!$D49*Parameters!$C$7*IF($B81&lt;Parameters!$D$16,1,(1+Parameters!$D$17)*(1-Parameters!$D$18))</f>
        <v>308246.25966333377</v>
      </c>
      <c r="D81" s="20">
        <f>D41*Data_checks!$D49*Parameters!$C$7*IF($B81&lt;Parameters!$D$16,1,(1+Parameters!$D$17)*(1-Parameters!$D$18))</f>
        <v>245533.03126186557</v>
      </c>
      <c r="E81" s="20">
        <f>E41*Data_checks!$D49*Parameters!$C$7*IF($B81&lt;Parameters!$D$16,1,(1+Parameters!$D$17)*(1-Parameters!$D$18))</f>
        <v>256275.10137957221</v>
      </c>
      <c r="F81" s="20">
        <f>F41*Data_checks!$D49*Parameters!$C$7*IF($B81&lt;Parameters!$D$16,1,(1+Parameters!$D$17)*(1-Parameters!$D$18))</f>
        <v>302107.93388178712</v>
      </c>
      <c r="G81" s="20">
        <f>G41*Data_checks!$D49*Parameters!$C$7*IF($B81&lt;Parameters!$D$16,1,(1+Parameters!$D$17)*(1-Parameters!$D$18))</f>
        <v>263948.00860650546</v>
      </c>
      <c r="H81" s="20">
        <f>H41*Data_checks!$D49*Parameters!$C$7*IF($B81&lt;Parameters!$D$16,1,(1+Parameters!$D$17)*(1-Parameters!$D$18))</f>
        <v>248090.66700417668</v>
      </c>
      <c r="I81" s="20">
        <f>I41*Data_checks!$D49*Parameters!$C$7*IF($B81&lt;Parameters!$D$16,1,(1+Parameters!$D$17)*(1-Parameters!$D$18))</f>
        <v>320727.52208581188</v>
      </c>
      <c r="J81" s="20">
        <f>J41*Data_checks!$D49*Parameters!$C$7*IF($B81&lt;Parameters!$D$16,1,(1+Parameters!$D$17)*(1-Parameters!$D$18))</f>
        <v>286966.73028730543</v>
      </c>
      <c r="K81" s="20">
        <f>K41*Data_checks!$D49*Parameters!$C$7*IF($B81&lt;Parameters!$D$16,1,(1+Parameters!$D$17)*(1-Parameters!$D$18))</f>
        <v>226094.99962030121</v>
      </c>
      <c r="L81" s="20">
        <f>L41*Data_checks!$D49*Parameters!$C$7*IF($B81&lt;Parameters!$D$16,1,(1+Parameters!$D$17)*(1-Parameters!$D$18))</f>
        <v>298015.71669408935</v>
      </c>
      <c r="M81" s="20">
        <f>M41*Data_checks!$D49*Parameters!$C$7*IF($B81&lt;Parameters!$D$16,1,(1+Parameters!$D$17)*(1-Parameters!$D$18))</f>
        <v>263948.00860650546</v>
      </c>
      <c r="N81" s="20">
        <f>N41*Data_checks!$D49*Parameters!$C$7*IF($B81&lt;Parameters!$D$16,1,(1+Parameters!$D$17)*(1-Parameters!$D$18))</f>
        <v>213306.82090874572</v>
      </c>
    </row>
    <row r="82" spans="2:14" x14ac:dyDescent="0.3">
      <c r="B82" s="23">
        <f t="shared" si="11"/>
        <v>7</v>
      </c>
      <c r="C82" s="20">
        <f>C42*Data_checks!$D50*Parameters!$C$7*IF($B82&lt;Parameters!$D$16,1,(1+Parameters!$D$17)*(1-Parameters!$D$18))</f>
        <v>171247.92203518542</v>
      </c>
      <c r="D82" s="20">
        <f>D42*Data_checks!$D50*Parameters!$C$7*IF($B82&lt;Parameters!$D$16,1,(1+Parameters!$D$17)*(1-Parameters!$D$18))</f>
        <v>136407.23958992533</v>
      </c>
      <c r="E82" s="20">
        <f>E42*Data_checks!$D50*Parameters!$C$7*IF($B82&lt;Parameters!$D$16,1,(1+Parameters!$D$17)*(1-Parameters!$D$18))</f>
        <v>142375.05632198459</v>
      </c>
      <c r="F82" s="20">
        <f>F42*Data_checks!$D50*Parameters!$C$7*IF($B82&lt;Parameters!$D$16,1,(1+Parameters!$D$17)*(1-Parameters!$D$18))</f>
        <v>167837.74104543732</v>
      </c>
      <c r="G82" s="20">
        <f>G42*Data_checks!$D50*Parameters!$C$7*IF($B82&lt;Parameters!$D$16,1,(1+Parameters!$D$17)*(1-Parameters!$D$18))</f>
        <v>146637.78255916975</v>
      </c>
      <c r="H82" s="20">
        <f>H42*Data_checks!$D50*Parameters!$C$7*IF($B82&lt;Parameters!$D$16,1,(1+Parameters!$D$17)*(1-Parameters!$D$18))</f>
        <v>137828.14833565374</v>
      </c>
      <c r="I82" s="20">
        <f>I42*Data_checks!$D50*Parameters!$C$7*IF($B82&lt;Parameters!$D$16,1,(1+Parameters!$D$17)*(1-Parameters!$D$18))</f>
        <v>178181.95671433996</v>
      </c>
      <c r="J82" s="20">
        <f>J42*Data_checks!$D50*Parameters!$C$7*IF($B82&lt;Parameters!$D$16,1,(1+Parameters!$D$17)*(1-Parameters!$D$18))</f>
        <v>159425.96127072521</v>
      </c>
      <c r="K82" s="20">
        <f>K42*Data_checks!$D50*Parameters!$C$7*IF($B82&lt;Parameters!$D$16,1,(1+Parameters!$D$17)*(1-Parameters!$D$18))</f>
        <v>125608.33312238959</v>
      </c>
      <c r="L82" s="20">
        <f>L42*Data_checks!$D50*Parameters!$C$7*IF($B82&lt;Parameters!$D$16,1,(1+Parameters!$D$17)*(1-Parameters!$D$18))</f>
        <v>165564.28705227189</v>
      </c>
      <c r="M82" s="20">
        <f>M42*Data_checks!$D50*Parameters!$C$7*IF($B82&lt;Parameters!$D$16,1,(1+Parameters!$D$17)*(1-Parameters!$D$18))</f>
        <v>146637.78255916975</v>
      </c>
      <c r="N82" s="20">
        <f>N42*Data_checks!$D50*Parameters!$C$7*IF($B82&lt;Parameters!$D$16,1,(1+Parameters!$D$17)*(1-Parameters!$D$18))</f>
        <v>118503.78939374765</v>
      </c>
    </row>
    <row r="83" spans="2:14" x14ac:dyDescent="0.3">
      <c r="B83" s="23">
        <f t="shared" si="11"/>
        <v>8</v>
      </c>
      <c r="C83" s="20">
        <f>C43*Data_checks!$D51*Parameters!$C$7*IF($B83&lt;Parameters!$D$16,1,(1+Parameters!$D$17)*(1-Parameters!$D$18))</f>
        <v>48927.977724338692</v>
      </c>
      <c r="D83" s="20">
        <f>D43*Data_checks!$D51*Parameters!$C$7*IF($B83&lt;Parameters!$D$16,1,(1+Parameters!$D$17)*(1-Parameters!$D$18))</f>
        <v>38973.497025692952</v>
      </c>
      <c r="E83" s="20">
        <f>E43*Data_checks!$D51*Parameters!$C$7*IF($B83&lt;Parameters!$D$16,1,(1+Parameters!$D$17)*(1-Parameters!$D$18))</f>
        <v>40678.587520567031</v>
      </c>
      <c r="F83" s="20">
        <f>F43*Data_checks!$D51*Parameters!$C$7*IF($B83&lt;Parameters!$D$16,1,(1+Parameters!$D$17)*(1-Parameters!$D$18))</f>
        <v>47953.640298696373</v>
      </c>
      <c r="G83" s="20">
        <f>G43*Data_checks!$D51*Parameters!$C$7*IF($B83&lt;Parameters!$D$16,1,(1+Parameters!$D$17)*(1-Parameters!$D$18))</f>
        <v>41896.509302619925</v>
      </c>
      <c r="H83" s="20">
        <f>H43*Data_checks!$D51*Parameters!$C$7*IF($B83&lt;Parameters!$D$16,1,(1+Parameters!$D$17)*(1-Parameters!$D$18))</f>
        <v>39379.470953043921</v>
      </c>
      <c r="I83" s="20">
        <f>I43*Data_checks!$D51*Parameters!$C$7*IF($B83&lt;Parameters!$D$16,1,(1+Parameters!$D$17)*(1-Parameters!$D$18))</f>
        <v>50909.130489811425</v>
      </c>
      <c r="J83" s="20">
        <f>J43*Data_checks!$D51*Parameters!$C$7*IF($B83&lt;Parameters!$D$16,1,(1+Parameters!$D$17)*(1-Parameters!$D$18))</f>
        <v>45550.274648778643</v>
      </c>
      <c r="K83" s="20">
        <f>K43*Data_checks!$D51*Parameters!$C$7*IF($B83&lt;Parameters!$D$16,1,(1+Parameters!$D$17)*(1-Parameters!$D$18))</f>
        <v>35888.095177825591</v>
      </c>
      <c r="L83" s="20">
        <f>L43*Data_checks!$D51*Parameters!$C$7*IF($B83&lt;Parameters!$D$16,1,(1+Parameters!$D$17)*(1-Parameters!$D$18))</f>
        <v>47304.082014934829</v>
      </c>
      <c r="M83" s="20">
        <f>M43*Data_checks!$D51*Parameters!$C$7*IF($B83&lt;Parameters!$D$16,1,(1+Parameters!$D$17)*(1-Parameters!$D$18))</f>
        <v>41896.509302619925</v>
      </c>
      <c r="N83" s="20">
        <f>N43*Data_checks!$D51*Parameters!$C$7*IF($B83&lt;Parameters!$D$16,1,(1+Parameters!$D$17)*(1-Parameters!$D$18))</f>
        <v>33858.225541070751</v>
      </c>
    </row>
    <row r="84" spans="2:14" x14ac:dyDescent="0.3">
      <c r="B84" s="23">
        <f t="shared" si="11"/>
        <v>9</v>
      </c>
      <c r="C84" s="20">
        <f>C44*Data_checks!$D52*Parameters!$C$7*IF($B84&lt;Parameters!$D$16,1,(1+Parameters!$D$17)*(1-Parameters!$D$18))</f>
        <v>47704.778281230225</v>
      </c>
      <c r="D84" s="20">
        <f>D44*Data_checks!$D52*Parameters!$C$7*IF($B84&lt;Parameters!$D$16,1,(1+Parameters!$D$17)*(1-Parameters!$D$18))</f>
        <v>37999.159600050625</v>
      </c>
      <c r="E84" s="20">
        <f>E44*Data_checks!$D52*Parameters!$C$7*IF($B84&lt;Parameters!$D$16,1,(1+Parameters!$D$17)*(1-Parameters!$D$18))</f>
        <v>39661.622832552843</v>
      </c>
      <c r="F84" s="20">
        <f>F44*Data_checks!$D52*Parameters!$C$7*IF($B84&lt;Parameters!$D$16,1,(1+Parameters!$D$17)*(1-Parameters!$D$18))</f>
        <v>46754.799291228963</v>
      </c>
      <c r="G84" s="20">
        <f>G44*Data_checks!$D52*Parameters!$C$7*IF($B84&lt;Parameters!$D$16,1,(1+Parameters!$D$17)*(1-Parameters!$D$18))</f>
        <v>40849.096570054426</v>
      </c>
      <c r="H84" s="20">
        <f>H44*Data_checks!$D52*Parameters!$C$7*IF($B84&lt;Parameters!$D$16,1,(1+Parameters!$D$17)*(1-Parameters!$D$18))</f>
        <v>38394.984179217819</v>
      </c>
      <c r="I84" s="20">
        <f>I44*Data_checks!$D52*Parameters!$C$7*IF($B84&lt;Parameters!$D$16,1,(1+Parameters!$D$17)*(1-Parameters!$D$18))</f>
        <v>49636.402227566134</v>
      </c>
      <c r="J84" s="20">
        <f>J44*Data_checks!$D52*Parameters!$C$7*IF($B84&lt;Parameters!$D$16,1,(1+Parameters!$D$17)*(1-Parameters!$D$18))</f>
        <v>44411.517782559167</v>
      </c>
      <c r="K84" s="20">
        <f>K44*Data_checks!$D52*Parameters!$C$7*IF($B84&lt;Parameters!$D$16,1,(1+Parameters!$D$17)*(1-Parameters!$D$18))</f>
        <v>34990.892798379951</v>
      </c>
      <c r="L84" s="20">
        <f>L44*Data_checks!$D52*Parameters!$C$7*IF($B84&lt;Parameters!$D$16,1,(1+Parameters!$D$17)*(1-Parameters!$D$18))</f>
        <v>46121.479964561448</v>
      </c>
      <c r="M84" s="20">
        <f>M44*Data_checks!$D52*Parameters!$C$7*IF($B84&lt;Parameters!$D$16,1,(1+Parameters!$D$17)*(1-Parameters!$D$18))</f>
        <v>40849.096570054426</v>
      </c>
      <c r="N84" s="20">
        <f>N44*Data_checks!$D52*Parameters!$C$7*IF($B84&lt;Parameters!$D$16,1,(1+Parameters!$D$17)*(1-Parameters!$D$18))</f>
        <v>33011.76990254398</v>
      </c>
    </row>
    <row r="85" spans="2:14" x14ac:dyDescent="0.3">
      <c r="B85" s="23">
        <f t="shared" si="11"/>
        <v>10</v>
      </c>
      <c r="C85" s="20">
        <f>C45*Data_checks!$D53*Parameters!$C$7*IF($B85&lt;Parameters!$D$16,1,(1+Parameters!$D$17)*(1-Parameters!$D$18))</f>
        <v>13944.473651436527</v>
      </c>
      <c r="D85" s="20">
        <f>D45*Data_checks!$D53*Parameters!$C$7*IF($B85&lt;Parameters!$D$16,1,(1+Parameters!$D$17)*(1-Parameters!$D$18))</f>
        <v>11107.446652322489</v>
      </c>
      <c r="E85" s="20">
        <f>E45*Data_checks!$D53*Parameters!$C$7*IF($B85&lt;Parameters!$D$16,1,(1+Parameters!$D$17)*(1-Parameters!$D$18))</f>
        <v>11593.3974433616</v>
      </c>
      <c r="F85" s="20">
        <f>F45*Data_checks!$D53*Parameters!$C$7*IF($B85&lt;Parameters!$D$16,1,(1+Parameters!$D$17)*(1-Parameters!$D$18))</f>
        <v>13666.787485128465</v>
      </c>
      <c r="G85" s="20">
        <f>G45*Data_checks!$D53*Parameters!$C$7*IF($B85&lt;Parameters!$D$16,1,(1+Parameters!$D$17)*(1-Parameters!$D$18))</f>
        <v>11940.505151246678</v>
      </c>
      <c r="H85" s="20">
        <f>H45*Data_checks!$D53*Parameters!$C$7*IF($B85&lt;Parameters!$D$16,1,(1+Parameters!$D$17)*(1-Parameters!$D$18))</f>
        <v>11223.149221617516</v>
      </c>
      <c r="I85" s="20">
        <f>I45*Data_checks!$D53*Parameters!$C$7*IF($B85&lt;Parameters!$D$16,1,(1+Parameters!$D$17)*(1-Parameters!$D$18))</f>
        <v>14509.102189596257</v>
      </c>
      <c r="J85" s="20">
        <f>J45*Data_checks!$D53*Parameters!$C$7*IF($B85&lt;Parameters!$D$16,1,(1+Parameters!$D$17)*(1-Parameters!$D$18))</f>
        <v>12981.828274901913</v>
      </c>
      <c r="K85" s="20">
        <f>K45*Data_checks!$D53*Parameters!$C$7*IF($B85&lt;Parameters!$D$16,1,(1+Parameters!$D$17)*(1-Parameters!$D$18))</f>
        <v>10228.107125680295</v>
      </c>
      <c r="L85" s="20">
        <f>L45*Data_checks!$D53*Parameters!$C$7*IF($B85&lt;Parameters!$D$16,1,(1+Parameters!$D$17)*(1-Parameters!$D$18))</f>
        <v>13481.663374256426</v>
      </c>
      <c r="M85" s="20">
        <f>M45*Data_checks!$D53*Parameters!$C$7*IF($B85&lt;Parameters!$D$16,1,(1+Parameters!$D$17)*(1-Parameters!$D$18))</f>
        <v>11940.505151246678</v>
      </c>
      <c r="N85" s="20">
        <f>N45*Data_checks!$D53*Parameters!$C$7*IF($B85&lt;Parameters!$D$16,1,(1+Parameters!$D$17)*(1-Parameters!$D$18))</f>
        <v>9649.5942792051628</v>
      </c>
    </row>
    <row r="86" spans="2:14" x14ac:dyDescent="0.3">
      <c r="B86" s="23">
        <f t="shared" si="11"/>
        <v>11</v>
      </c>
      <c r="C86" s="20">
        <f>C46*Data_checks!$D54*Parameters!$C$7*IF($B86&lt;Parameters!$D$16,1,(1+Parameters!$D$17)*(1-Parameters!$D$18))</f>
        <v>18299.06366890268</v>
      </c>
      <c r="D86" s="20">
        <f>D46*Data_checks!$D54*Parameters!$C$7*IF($B86&lt;Parameters!$D$16,1,(1+Parameters!$D$17)*(1-Parameters!$D$18))</f>
        <v>14576.087887609167</v>
      </c>
      <c r="E86" s="20">
        <f>E46*Data_checks!$D54*Parameters!$C$7*IF($B86&lt;Parameters!$D$16,1,(1+Parameters!$D$17)*(1-Parameters!$D$18))</f>
        <v>15213.791732692067</v>
      </c>
      <c r="F86" s="20">
        <f>F46*Data_checks!$D54*Parameters!$C$7*IF($B86&lt;Parameters!$D$16,1,(1+Parameters!$D$17)*(1-Parameters!$D$18))</f>
        <v>17934.661471712443</v>
      </c>
      <c r="G86" s="20">
        <f>G46*Data_checks!$D54*Parameters!$C$7*IF($B86&lt;Parameters!$D$16,1,(1+Parameters!$D$17)*(1-Parameters!$D$18))</f>
        <v>15669.294479179855</v>
      </c>
      <c r="H86" s="20">
        <f>H46*Data_checks!$D54*Parameters!$C$7*IF($B86&lt;Parameters!$D$16,1,(1+Parameters!$D$17)*(1-Parameters!$D$18))</f>
        <v>14727.922136438428</v>
      </c>
      <c r="I86" s="20">
        <f>I46*Data_checks!$D54*Parameters!$C$7*IF($B86&lt;Parameters!$D$16,1,(1+Parameters!$D$17)*(1-Parameters!$D$18))</f>
        <v>19040.014803189471</v>
      </c>
      <c r="J86" s="20">
        <f>J46*Data_checks!$D54*Parameters!$C$7*IF($B86&lt;Parameters!$D$16,1,(1+Parameters!$D$17)*(1-Parameters!$D$18))</f>
        <v>17035.802718643215</v>
      </c>
      <c r="K86" s="20">
        <f>K46*Data_checks!$D54*Parameters!$C$7*IF($B86&lt;Parameters!$D$16,1,(1+Parameters!$D$17)*(1-Parameters!$D$18))</f>
        <v>13422.147596506773</v>
      </c>
      <c r="L86" s="20">
        <f>L46*Data_checks!$D54*Parameters!$C$7*IF($B86&lt;Parameters!$D$16,1,(1+Parameters!$D$17)*(1-Parameters!$D$18))</f>
        <v>17691.726673585628</v>
      </c>
      <c r="M86" s="20">
        <f>M46*Data_checks!$D54*Parameters!$C$7*IF($B86&lt;Parameters!$D$16,1,(1+Parameters!$D$17)*(1-Parameters!$D$18))</f>
        <v>15669.294479179855</v>
      </c>
      <c r="N86" s="20">
        <f>N46*Data_checks!$D54*Parameters!$C$7*IF($B86&lt;Parameters!$D$16,1,(1+Parameters!$D$17)*(1-Parameters!$D$18))</f>
        <v>12662.976352360463</v>
      </c>
    </row>
    <row r="87" spans="2:14" x14ac:dyDescent="0.3">
      <c r="B87" s="23">
        <f t="shared" si="11"/>
        <v>12</v>
      </c>
      <c r="C87" s="20">
        <f>C47*Data_checks!$D55*Parameters!$C$7*IF($B87&lt;Parameters!$D$16,1,(1+Parameters!$D$17)*(1-Parameters!$D$18))</f>
        <v>14433.753428679915</v>
      </c>
      <c r="D87" s="20">
        <f>D47*Data_checks!$D55*Parameters!$C$7*IF($B87&lt;Parameters!$D$16,1,(1+Parameters!$D$17)*(1-Parameters!$D$18))</f>
        <v>11497.181622579421</v>
      </c>
      <c r="E87" s="20">
        <f>E47*Data_checks!$D55*Parameters!$C$7*IF($B87&lt;Parameters!$D$16,1,(1+Parameters!$D$17)*(1-Parameters!$D$18))</f>
        <v>12000.183318567271</v>
      </c>
      <c r="F87" s="20">
        <f>F47*Data_checks!$D55*Parameters!$C$7*IF($B87&lt;Parameters!$D$16,1,(1+Parameters!$D$17)*(1-Parameters!$D$18))</f>
        <v>14146.323888115428</v>
      </c>
      <c r="G87" s="20">
        <f>G47*Data_checks!$D55*Parameters!$C$7*IF($B87&lt;Parameters!$D$16,1,(1+Parameters!$D$17)*(1-Parameters!$D$18))</f>
        <v>12359.470244272878</v>
      </c>
      <c r="H87" s="20">
        <f>H47*Data_checks!$D55*Parameters!$C$7*IF($B87&lt;Parameters!$D$16,1,(1+Parameters!$D$17)*(1-Parameters!$D$18))</f>
        <v>11616.943931147955</v>
      </c>
      <c r="I87" s="20">
        <f>I47*Data_checks!$D55*Parameters!$C$7*IF($B87&lt;Parameters!$D$16,1,(1+Parameters!$D$17)*(1-Parameters!$D$18))</f>
        <v>15018.19349449437</v>
      </c>
      <c r="J87" s="20">
        <f>J47*Data_checks!$D55*Parameters!$C$7*IF($B87&lt;Parameters!$D$16,1,(1+Parameters!$D$17)*(1-Parameters!$D$18))</f>
        <v>13437.3310213897</v>
      </c>
      <c r="K87" s="20">
        <f>K47*Data_checks!$D55*Parameters!$C$7*IF($B87&lt;Parameters!$D$16,1,(1+Parameters!$D$17)*(1-Parameters!$D$18))</f>
        <v>10586.988077458551</v>
      </c>
      <c r="L87" s="20">
        <f>L47*Data_checks!$D55*Parameters!$C$7*IF($B87&lt;Parameters!$D$16,1,(1+Parameters!$D$17)*(1-Parameters!$D$18))</f>
        <v>13954.704194405773</v>
      </c>
      <c r="M87" s="20">
        <f>M47*Data_checks!$D55*Parameters!$C$7*IF($B87&lt;Parameters!$D$16,1,(1+Parameters!$D$17)*(1-Parameters!$D$18))</f>
        <v>12359.470244272878</v>
      </c>
      <c r="N87" s="20">
        <f>N47*Data_checks!$D55*Parameters!$C$7*IF($B87&lt;Parameters!$D$16,1,(1+Parameters!$D$17)*(1-Parameters!$D$18))</f>
        <v>9988.1765346158718</v>
      </c>
    </row>
    <row r="88" spans="2:14" x14ac:dyDescent="0.3">
      <c r="B88" s="23">
        <f t="shared" si="11"/>
        <v>13</v>
      </c>
      <c r="C88" s="20">
        <f>C48*Data_checks!$D56*Parameters!$C$7*IF($B88&lt;Parameters!$D$16,1,(1+Parameters!$D$17)*(1-Parameters!$D$18))</f>
        <v>11131.114932287053</v>
      </c>
      <c r="D88" s="20">
        <f>D48*Data_checks!$D56*Parameters!$C$7*IF($B88&lt;Parameters!$D$16,1,(1+Parameters!$D$17)*(1-Parameters!$D$18))</f>
        <v>8866.4705733451447</v>
      </c>
      <c r="E88" s="20">
        <f>E48*Data_checks!$D56*Parameters!$C$7*IF($B88&lt;Parameters!$D$16,1,(1+Parameters!$D$17)*(1-Parameters!$D$18))</f>
        <v>9254.3786609289964</v>
      </c>
      <c r="F88" s="20">
        <f>F48*Data_checks!$D56*Parameters!$C$7*IF($B88&lt;Parameters!$D$16,1,(1+Parameters!$D$17)*(1-Parameters!$D$18))</f>
        <v>10909.453167953423</v>
      </c>
      <c r="G88" s="20">
        <f>G48*Data_checks!$D56*Parameters!$C$7*IF($B88&lt;Parameters!$D$16,1,(1+Parameters!$D$17)*(1-Parameters!$D$18))</f>
        <v>9531.4558663460321</v>
      </c>
      <c r="H88" s="20">
        <f>H48*Data_checks!$D56*Parameters!$C$7*IF($B88&lt;Parameters!$D$16,1,(1+Parameters!$D$17)*(1-Parameters!$D$18))</f>
        <v>8958.8296418174923</v>
      </c>
      <c r="I88" s="20">
        <f>I48*Data_checks!$D56*Parameters!$C$7*IF($B88&lt;Parameters!$D$16,1,(1+Parameters!$D$17)*(1-Parameters!$D$18))</f>
        <v>11581.827186432098</v>
      </c>
      <c r="J88" s="20">
        <f>J48*Data_checks!$D56*Parameters!$C$7*IF($B88&lt;Parameters!$D$16,1,(1+Parameters!$D$17)*(1-Parameters!$D$18))</f>
        <v>10362.687482597141</v>
      </c>
      <c r="K88" s="20">
        <f>K48*Data_checks!$D56*Parameters!$C$7*IF($B88&lt;Parameters!$D$16,1,(1+Parameters!$D$17)*(1-Parameters!$D$18))</f>
        <v>8164.5416529553222</v>
      </c>
      <c r="L88" s="20">
        <f>L48*Data_checks!$D56*Parameters!$C$7*IF($B88&lt;Parameters!$D$16,1,(1+Parameters!$D$17)*(1-Parameters!$D$18))</f>
        <v>10761.678658397672</v>
      </c>
      <c r="M88" s="20">
        <f>M48*Data_checks!$D56*Parameters!$C$7*IF($B88&lt;Parameters!$D$16,1,(1+Parameters!$D$17)*(1-Parameters!$D$18))</f>
        <v>9531.4558663460321</v>
      </c>
      <c r="N88" s="20">
        <f>N48*Data_checks!$D56*Parameters!$C$7*IF($B88&lt;Parameters!$D$16,1,(1+Parameters!$D$17)*(1-Parameters!$D$18))</f>
        <v>7702.7463105935967</v>
      </c>
    </row>
    <row r="89" spans="2:14" x14ac:dyDescent="0.3">
      <c r="B89" s="23">
        <f t="shared" si="11"/>
        <v>14</v>
      </c>
      <c r="C89" s="20">
        <f>C49*Data_checks!$D57*Parameters!$C$7*IF($B89&lt;Parameters!$D$16,1,(1+Parameters!$D$17)*(1-Parameters!$D$18))</f>
        <v>8105.7349763321117</v>
      </c>
      <c r="D89" s="20">
        <f>D49*Data_checks!$D57*Parameters!$C$7*IF($B89&lt;Parameters!$D$16,1,(1+Parameters!$D$17)*(1-Parameters!$D$18))</f>
        <v>6456.6093405897991</v>
      </c>
      <c r="E89" s="20">
        <f>E49*Data_checks!$D57*Parameters!$C$7*IF($B89&lt;Parameters!$D$16,1,(1+Parameters!$D$17)*(1-Parameters!$D$18))</f>
        <v>6739.085999240604</v>
      </c>
      <c r="F89" s="20">
        <f>F49*Data_checks!$D57*Parameters!$C$7*IF($B89&lt;Parameters!$D$16,1,(1+Parameters!$D$17)*(1-Parameters!$D$18))</f>
        <v>7944.3197428173653</v>
      </c>
      <c r="G89" s="20">
        <f>G49*Data_checks!$D57*Parameters!$C$7*IF($B89&lt;Parameters!$D$16,1,(1+Parameters!$D$17)*(1-Parameters!$D$18))</f>
        <v>6940.8550411340329</v>
      </c>
      <c r="H89" s="20">
        <f>H49*Data_checks!$D57*Parameters!$C$7*IF($B89&lt;Parameters!$D$16,1,(1+Parameters!$D$17)*(1-Parameters!$D$18))</f>
        <v>6523.86568788761</v>
      </c>
      <c r="I89" s="20">
        <f>I49*Data_checks!$D57*Parameters!$C$7*IF($B89&lt;Parameters!$D$16,1,(1+Parameters!$D$17)*(1-Parameters!$D$18))</f>
        <v>8433.9459511454243</v>
      </c>
      <c r="J89" s="20">
        <f>J49*Data_checks!$D57*Parameters!$C$7*IF($B89&lt;Parameters!$D$16,1,(1+Parameters!$D$17)*(1-Parameters!$D$18))</f>
        <v>7546.162166814328</v>
      </c>
      <c r="K89" s="20">
        <f>K49*Data_checks!$D57*Parameters!$C$7*IF($B89&lt;Parameters!$D$16,1,(1+Parameters!$D$17)*(1-Parameters!$D$18))</f>
        <v>5945.4611011264406</v>
      </c>
      <c r="L89" s="20">
        <f>L49*Data_checks!$D57*Parameters!$C$7*IF($B89&lt;Parameters!$D$16,1,(1+Parameters!$D$17)*(1-Parameters!$D$18))</f>
        <v>7836.7095871408692</v>
      </c>
      <c r="M89" s="20">
        <f>M49*Data_checks!$D57*Parameters!$C$7*IF($B89&lt;Parameters!$D$16,1,(1+Parameters!$D$17)*(1-Parameters!$D$18))</f>
        <v>6940.8550411340329</v>
      </c>
      <c r="N89" s="20">
        <f>N49*Data_checks!$D57*Parameters!$C$7*IF($B89&lt;Parameters!$D$16,1,(1+Parameters!$D$17)*(1-Parameters!$D$18))</f>
        <v>5609.1793646373881</v>
      </c>
    </row>
    <row r="90" spans="2:14" x14ac:dyDescent="0.3">
      <c r="B90" s="1" t="s">
        <v>23</v>
      </c>
      <c r="C90" s="6">
        <f>SUM(C76:C89)</f>
        <v>2159352.032013162</v>
      </c>
      <c r="D90" s="6">
        <f t="shared" ref="D90:N90" si="12">SUM(D76:D89)</f>
        <v>1720028.1702063025</v>
      </c>
      <c r="E90" s="6">
        <f t="shared" si="12"/>
        <v>1795279.4026528283</v>
      </c>
      <c r="F90" s="6">
        <f t="shared" si="12"/>
        <v>2116351.3277580054</v>
      </c>
      <c r="G90" s="6">
        <f t="shared" si="12"/>
        <v>1849030.2829717756</v>
      </c>
      <c r="H90" s="6">
        <f t="shared" si="12"/>
        <v>1737945.1303126183</v>
      </c>
      <c r="I90" s="6">
        <f t="shared" si="12"/>
        <v>2246786.7973319832</v>
      </c>
      <c r="J90" s="6">
        <f t="shared" si="12"/>
        <v>2010282.9239286166</v>
      </c>
      <c r="K90" s="6">
        <f t="shared" si="12"/>
        <v>1583859.2733983037</v>
      </c>
      <c r="L90" s="6">
        <f t="shared" si="12"/>
        <v>2087684.1915879</v>
      </c>
      <c r="M90" s="6">
        <f t="shared" si="12"/>
        <v>1849030.2829717756</v>
      </c>
      <c r="N90" s="6">
        <f t="shared" si="12"/>
        <v>1494274.4728667259</v>
      </c>
    </row>
    <row r="92" spans="2:14" x14ac:dyDescent="0.3">
      <c r="B92" s="1" t="s">
        <v>69</v>
      </c>
    </row>
    <row r="93" spans="2:14" x14ac:dyDescent="0.3">
      <c r="B93" s="23" t="s">
        <v>60</v>
      </c>
      <c r="C93" s="22" t="str">
        <f t="shared" ref="C93:N93" si="13">C75</f>
        <v>Jan</v>
      </c>
      <c r="D93" s="22" t="str">
        <f t="shared" si="13"/>
        <v>Feb</v>
      </c>
      <c r="E93" s="22" t="str">
        <f t="shared" si="13"/>
        <v>Mar</v>
      </c>
      <c r="F93" s="22" t="str">
        <f t="shared" si="13"/>
        <v>Apr</v>
      </c>
      <c r="G93" s="22" t="str">
        <f t="shared" si="13"/>
        <v>May</v>
      </c>
      <c r="H93" s="22" t="str">
        <f t="shared" si="13"/>
        <v>Jun</v>
      </c>
      <c r="I93" s="22" t="str">
        <f t="shared" si="13"/>
        <v>Jul</v>
      </c>
      <c r="J93" s="22" t="str">
        <f t="shared" si="13"/>
        <v>Aug</v>
      </c>
      <c r="K93" s="22" t="str">
        <f t="shared" si="13"/>
        <v>Sep</v>
      </c>
      <c r="L93" s="22" t="str">
        <f t="shared" si="13"/>
        <v>Oct</v>
      </c>
      <c r="M93" s="22" t="str">
        <f t="shared" si="13"/>
        <v>Nov</v>
      </c>
      <c r="N93" s="22" t="str">
        <f t="shared" si="13"/>
        <v>Dec</v>
      </c>
    </row>
    <row r="94" spans="2:14" x14ac:dyDescent="0.3">
      <c r="B94" s="23">
        <f>B7</f>
        <v>1</v>
      </c>
      <c r="C94" s="10">
        <f>INDEX(Data_checks!$I$31:$K$34,MATCH(C14,Data_checks!$H$31:$H$34,0),MATCH(LEFT(C7,1),Data_checks!$I$30:$K$30,0))</f>
        <v>0.55000000000000004</v>
      </c>
      <c r="D94" s="10">
        <f>INDEX(Data_checks!$I$31:$K$34,MATCH(D14,Data_checks!$H$31:$H$34,0),MATCH(LEFT(D7,1),Data_checks!$I$30:$K$30,0))</f>
        <v>0.45</v>
      </c>
      <c r="E94" s="10">
        <f>INDEX(Data_checks!$I$31:$K$34,MATCH(E14,Data_checks!$H$31:$H$34,0),MATCH(LEFT(E7,1),Data_checks!$I$30:$K$30,0))</f>
        <v>0.45</v>
      </c>
      <c r="F94" s="10">
        <f>INDEX(Data_checks!$I$31:$K$34,MATCH(F14,Data_checks!$H$31:$H$34,0),MATCH(LEFT(F7,1),Data_checks!$I$30:$K$30,0))</f>
        <v>0.55000000000000004</v>
      </c>
      <c r="G94" s="10">
        <f>INDEX(Data_checks!$I$31:$K$34,MATCH(G14,Data_checks!$H$31:$H$34,0),MATCH(LEFT(G7,1),Data_checks!$I$30:$K$30,0))</f>
        <v>0.45</v>
      </c>
      <c r="H94" s="10">
        <f>INDEX(Data_checks!$I$31:$K$34,MATCH(H14,Data_checks!$H$31:$H$34,0),MATCH(LEFT(H7,1),Data_checks!$I$30:$K$30,0))</f>
        <v>0.45</v>
      </c>
      <c r="I94" s="10">
        <f>INDEX(Data_checks!$I$31:$K$34,MATCH(I14,Data_checks!$H$31:$H$34,0),MATCH(LEFT(I7,1),Data_checks!$I$30:$K$30,0))</f>
        <v>0.65</v>
      </c>
      <c r="J94" s="10">
        <f>INDEX(Data_checks!$I$31:$K$34,MATCH(J14,Data_checks!$H$31:$H$34,0),MATCH(LEFT(J7,1),Data_checks!$I$30:$K$30,0))</f>
        <v>0.55000000000000004</v>
      </c>
      <c r="K94" s="10">
        <f>INDEX(Data_checks!$I$31:$K$34,MATCH(K14,Data_checks!$H$31:$H$34,0),MATCH(LEFT(K7,1),Data_checks!$I$30:$K$30,0))</f>
        <v>0.35</v>
      </c>
      <c r="L94" s="10">
        <f>INDEX(Data_checks!$I$31:$K$34,MATCH(L14,Data_checks!$H$31:$H$34,0),MATCH(LEFT(L7,1),Data_checks!$I$30:$K$30,0))</f>
        <v>0.55000000000000004</v>
      </c>
      <c r="M94" s="10">
        <f>INDEX(Data_checks!$I$31:$K$34,MATCH(M14,Data_checks!$H$31:$H$34,0),MATCH(LEFT(M7,1),Data_checks!$I$30:$K$30,0))</f>
        <v>0.45</v>
      </c>
      <c r="N94" s="10">
        <f>INDEX(Data_checks!$I$31:$K$34,MATCH(N14,Data_checks!$H$31:$H$34,0),MATCH(LEFT(N7,1),Data_checks!$I$30:$K$30,0))</f>
        <v>0.35</v>
      </c>
    </row>
    <row r="95" spans="2:14" x14ac:dyDescent="0.3">
      <c r="B95" s="23">
        <f>B8</f>
        <v>2</v>
      </c>
      <c r="C95" s="10">
        <f>INDEX(Data_checks!$I$31:$K$34,MATCH(C15,Data_checks!$H$31:$H$34,0),MATCH(LEFT(C8,1),Data_checks!$I$30:$K$30,0))</f>
        <v>0.55000000000000004</v>
      </c>
      <c r="D95" s="10">
        <f>INDEX(Data_checks!$I$31:$K$34,MATCH(D15,Data_checks!$H$31:$H$34,0),MATCH(LEFT(D8,1),Data_checks!$I$30:$K$30,0))</f>
        <v>0.35</v>
      </c>
      <c r="E95" s="10">
        <f>INDEX(Data_checks!$I$31:$K$34,MATCH(E15,Data_checks!$H$31:$H$34,0),MATCH(LEFT(E8,1),Data_checks!$I$30:$K$30,0))</f>
        <v>0.3</v>
      </c>
      <c r="F95" s="10">
        <f>INDEX(Data_checks!$I$31:$K$34,MATCH(F15,Data_checks!$H$31:$H$34,0),MATCH(LEFT(F8,1),Data_checks!$I$30:$K$30,0))</f>
        <v>0.55000000000000004</v>
      </c>
      <c r="G95" s="10">
        <f>INDEX(Data_checks!$I$31:$K$34,MATCH(G15,Data_checks!$H$31:$H$34,0),MATCH(LEFT(G8,1),Data_checks!$I$30:$K$30,0))</f>
        <v>0.45</v>
      </c>
      <c r="H95" s="10">
        <f>INDEX(Data_checks!$I$31:$K$34,MATCH(H15,Data_checks!$H$31:$H$34,0),MATCH(LEFT(H8,1),Data_checks!$I$30:$K$30,0))</f>
        <v>0.3</v>
      </c>
      <c r="I95" s="10">
        <f>INDEX(Data_checks!$I$31:$K$34,MATCH(I15,Data_checks!$H$31:$H$34,0),MATCH(LEFT(I8,1),Data_checks!$I$30:$K$30,0))</f>
        <v>0.65</v>
      </c>
      <c r="J95" s="10">
        <f>INDEX(Data_checks!$I$31:$K$34,MATCH(J15,Data_checks!$H$31:$H$34,0),MATCH(LEFT(J8,1),Data_checks!$I$30:$K$30,0))</f>
        <v>0.55000000000000004</v>
      </c>
      <c r="K95" s="10">
        <f>INDEX(Data_checks!$I$31:$K$34,MATCH(K15,Data_checks!$H$31:$H$34,0),MATCH(LEFT(K8,1),Data_checks!$I$30:$K$30,0))</f>
        <v>0.45</v>
      </c>
      <c r="L95" s="10">
        <f>INDEX(Data_checks!$I$31:$K$34,MATCH(L15,Data_checks!$H$31:$H$34,0),MATCH(LEFT(L8,1),Data_checks!$I$30:$K$30,0))</f>
        <v>0.55000000000000004</v>
      </c>
      <c r="M95" s="10">
        <f>INDEX(Data_checks!$I$31:$K$34,MATCH(M15,Data_checks!$H$31:$H$34,0),MATCH(LEFT(M8,1),Data_checks!$I$30:$K$30,0))</f>
        <v>0.45</v>
      </c>
      <c r="N95" s="10">
        <f>INDEX(Data_checks!$I$31:$K$34,MATCH(N15,Data_checks!$H$31:$H$34,0),MATCH(LEFT(N8,1),Data_checks!$I$30:$K$30,0))</f>
        <v>0.3</v>
      </c>
    </row>
    <row r="96" spans="2:14" x14ac:dyDescent="0.3">
      <c r="B96" s="23">
        <f>B9</f>
        <v>3</v>
      </c>
      <c r="C96" s="10">
        <f>INDEX(Data_checks!$I$31:$K$34,MATCH(C16,Data_checks!$H$31:$H$34,0),MATCH(LEFT(C9,1),Data_checks!$I$30:$K$30,0))</f>
        <v>0.45</v>
      </c>
      <c r="D96" s="10">
        <f>INDEX(Data_checks!$I$31:$K$34,MATCH(D16,Data_checks!$H$31:$H$34,0),MATCH(LEFT(D9,1),Data_checks!$I$30:$K$30,0))</f>
        <v>0.35</v>
      </c>
      <c r="E96" s="10">
        <f>INDEX(Data_checks!$I$31:$K$34,MATCH(E16,Data_checks!$H$31:$H$34,0),MATCH(LEFT(E9,1),Data_checks!$I$30:$K$30,0))</f>
        <v>0.45</v>
      </c>
      <c r="F96" s="10">
        <f>INDEX(Data_checks!$I$31:$K$34,MATCH(F16,Data_checks!$H$31:$H$34,0),MATCH(LEFT(F9,1),Data_checks!$I$30:$K$30,0))</f>
        <v>0.45</v>
      </c>
      <c r="G96" s="10">
        <f>INDEX(Data_checks!$I$31:$K$34,MATCH(G16,Data_checks!$H$31:$H$34,0),MATCH(LEFT(G9,1),Data_checks!$I$30:$K$30,0))</f>
        <v>0.35</v>
      </c>
      <c r="H96" s="10">
        <f>INDEX(Data_checks!$I$31:$K$34,MATCH(H16,Data_checks!$H$31:$H$34,0),MATCH(LEFT(H9,1),Data_checks!$I$30:$K$30,0))</f>
        <v>0.35</v>
      </c>
      <c r="I96" s="10">
        <f>INDEX(Data_checks!$I$31:$K$34,MATCH(I16,Data_checks!$H$31:$H$34,0),MATCH(LEFT(I9,1),Data_checks!$I$30:$K$30,0))</f>
        <v>0.65</v>
      </c>
      <c r="J96" s="10">
        <f>INDEX(Data_checks!$I$31:$K$34,MATCH(J16,Data_checks!$H$31:$H$34,0),MATCH(LEFT(J9,1),Data_checks!$I$30:$K$30,0))</f>
        <v>0.45</v>
      </c>
      <c r="K96" s="10">
        <f>INDEX(Data_checks!$I$31:$K$34,MATCH(K16,Data_checks!$H$31:$H$34,0),MATCH(LEFT(K9,1),Data_checks!$I$30:$K$30,0))</f>
        <v>0.45</v>
      </c>
      <c r="L96" s="10">
        <f>INDEX(Data_checks!$I$31:$K$34,MATCH(L16,Data_checks!$H$31:$H$34,0),MATCH(LEFT(L9,1),Data_checks!$I$30:$K$30,0))</f>
        <v>0.2</v>
      </c>
      <c r="M96" s="10">
        <f>INDEX(Data_checks!$I$31:$K$34,MATCH(M16,Data_checks!$H$31:$H$34,0),MATCH(LEFT(M9,1),Data_checks!$I$30:$K$30,0))</f>
        <v>0.35</v>
      </c>
      <c r="N96" s="10">
        <f>INDEX(Data_checks!$I$31:$K$34,MATCH(N16,Data_checks!$H$31:$H$34,0),MATCH(LEFT(N9,1),Data_checks!$I$30:$K$30,0))</f>
        <v>0.35</v>
      </c>
    </row>
    <row r="97" spans="2:15" x14ac:dyDescent="0.3">
      <c r="B97" s="23">
        <f>B10</f>
        <v>4</v>
      </c>
      <c r="C97" s="10">
        <f>INDEX(Data_checks!$I$31:$K$34,MATCH(C17,Data_checks!$H$31:$H$34,0),MATCH(LEFT(C10,1),Data_checks!$I$30:$K$30,0))</f>
        <v>0.45</v>
      </c>
      <c r="D97" s="10">
        <f>INDEX(Data_checks!$I$31:$K$34,MATCH(D17,Data_checks!$H$31:$H$34,0),MATCH(LEFT(D10,1),Data_checks!$I$30:$K$30,0))</f>
        <v>0.35</v>
      </c>
      <c r="E97" s="10">
        <f>INDEX(Data_checks!$I$31:$K$34,MATCH(E17,Data_checks!$H$31:$H$34,0),MATCH(LEFT(E10,1),Data_checks!$I$30:$K$30,0))</f>
        <v>0.15</v>
      </c>
      <c r="F97" s="10">
        <f>INDEX(Data_checks!$I$31:$K$34,MATCH(F17,Data_checks!$H$31:$H$34,0),MATCH(LEFT(F10,1),Data_checks!$I$30:$K$30,0))</f>
        <v>0.35</v>
      </c>
      <c r="G97" s="10">
        <f>INDEX(Data_checks!$I$31:$K$34,MATCH(G17,Data_checks!$H$31:$H$34,0),MATCH(LEFT(G10,1),Data_checks!$I$30:$K$30,0))</f>
        <v>0.35</v>
      </c>
      <c r="H97" s="10">
        <f>INDEX(Data_checks!$I$31:$K$34,MATCH(H17,Data_checks!$H$31:$H$34,0),MATCH(LEFT(H10,1),Data_checks!$I$30:$K$30,0))</f>
        <v>0.15</v>
      </c>
      <c r="I97" s="10">
        <f>INDEX(Data_checks!$I$31:$K$34,MATCH(I17,Data_checks!$H$31:$H$34,0),MATCH(LEFT(I10,1),Data_checks!$I$30:$K$30,0))</f>
        <v>0.35</v>
      </c>
      <c r="J97" s="10">
        <f>INDEX(Data_checks!$I$31:$K$34,MATCH(J17,Data_checks!$H$31:$H$34,0),MATCH(LEFT(J10,1),Data_checks!$I$30:$K$30,0))</f>
        <v>0.45</v>
      </c>
      <c r="K97" s="10">
        <f>INDEX(Data_checks!$I$31:$K$34,MATCH(K17,Data_checks!$H$31:$H$34,0),MATCH(LEFT(K10,1),Data_checks!$I$30:$K$30,0))</f>
        <v>0.35</v>
      </c>
      <c r="L97" s="10">
        <f>INDEX(Data_checks!$I$31:$K$34,MATCH(L17,Data_checks!$H$31:$H$34,0),MATCH(LEFT(L10,1),Data_checks!$I$30:$K$30,0))</f>
        <v>0.45</v>
      </c>
      <c r="M97" s="10">
        <f>INDEX(Data_checks!$I$31:$K$34,MATCH(M17,Data_checks!$H$31:$H$34,0),MATCH(LEFT(M10,1),Data_checks!$I$30:$K$30,0))</f>
        <v>0.35</v>
      </c>
      <c r="N97" s="10">
        <f>INDEX(Data_checks!$I$31:$K$34,MATCH(N17,Data_checks!$H$31:$H$34,0),MATCH(LEFT(N10,1),Data_checks!$I$30:$K$30,0))</f>
        <v>0.15</v>
      </c>
    </row>
    <row r="99" spans="2:15" x14ac:dyDescent="0.3">
      <c r="B99" s="1" t="s">
        <v>70</v>
      </c>
    </row>
    <row r="100" spans="2:15" x14ac:dyDescent="0.3">
      <c r="B100" s="23" t="s">
        <v>60</v>
      </c>
      <c r="C100" s="22" t="str">
        <f>C93</f>
        <v>Jan</v>
      </c>
      <c r="D100" s="22" t="str">
        <f t="shared" ref="D100:N100" si="14">D93</f>
        <v>Feb</v>
      </c>
      <c r="E100" s="22" t="str">
        <f t="shared" si="14"/>
        <v>Mar</v>
      </c>
      <c r="F100" s="22" t="str">
        <f t="shared" si="14"/>
        <v>Apr</v>
      </c>
      <c r="G100" s="22" t="str">
        <f t="shared" si="14"/>
        <v>May</v>
      </c>
      <c r="H100" s="22" t="str">
        <f t="shared" si="14"/>
        <v>Jun</v>
      </c>
      <c r="I100" s="22" t="str">
        <f t="shared" si="14"/>
        <v>Jul</v>
      </c>
      <c r="J100" s="22" t="str">
        <f t="shared" si="14"/>
        <v>Aug</v>
      </c>
      <c r="K100" s="22" t="str">
        <f t="shared" si="14"/>
        <v>Sep</v>
      </c>
      <c r="L100" s="22" t="str">
        <f t="shared" si="14"/>
        <v>Oct</v>
      </c>
      <c r="M100" s="22" t="str">
        <f t="shared" si="14"/>
        <v>Nov</v>
      </c>
      <c r="N100" s="22" t="str">
        <f t="shared" si="14"/>
        <v>Dec</v>
      </c>
    </row>
    <row r="101" spans="2:15" x14ac:dyDescent="0.3">
      <c r="B101" s="23">
        <f>B7</f>
        <v>1</v>
      </c>
      <c r="C101" s="6">
        <f>C94*C28*Parameters!$C$6</f>
        <v>1017373.5</v>
      </c>
      <c r="D101" s="6">
        <f>D94*D28*Parameters!$C$6</f>
        <v>716040</v>
      </c>
      <c r="E101" s="6">
        <f>E94*E28*Parameters!$C$6</f>
        <v>760792.5</v>
      </c>
      <c r="F101" s="6">
        <f>F94*F28*Parameters!$C$6</f>
        <v>1017373.5</v>
      </c>
      <c r="G101" s="6">
        <f>G94*G28*Parameters!$C$6</f>
        <v>716040</v>
      </c>
      <c r="H101" s="6">
        <f>H94*H28*Parameters!$C$6</f>
        <v>760792.5</v>
      </c>
      <c r="I101" s="6">
        <f>I94*I28*Parameters!$C$6</f>
        <v>1266993</v>
      </c>
      <c r="J101" s="6">
        <f>J94*J28*Parameters!$C$6</f>
        <v>929857.5</v>
      </c>
      <c r="K101" s="6">
        <f>K94*K28*Parameters!$C$6</f>
        <v>452497.5</v>
      </c>
      <c r="L101" s="6">
        <f>L94*L28*Parameters!$C$6</f>
        <v>1017373.5</v>
      </c>
      <c r="M101" s="6">
        <f>M94*M28*Parameters!$C$6</f>
        <v>716040</v>
      </c>
      <c r="N101" s="6">
        <f>N94*N28*Parameters!$C$6</f>
        <v>452497.5</v>
      </c>
    </row>
    <row r="102" spans="2:15" x14ac:dyDescent="0.3">
      <c r="B102" s="23">
        <f>B8</f>
        <v>2</v>
      </c>
      <c r="C102" s="6">
        <f>C95*C29*Parameters!$C$6</f>
        <v>538609.5</v>
      </c>
      <c r="D102" s="6">
        <f>D95*D29*Parameters!$C$6</f>
        <v>239557.5</v>
      </c>
      <c r="E102" s="6">
        <f>E95*E29*Parameters!$C$6</f>
        <v>205335</v>
      </c>
      <c r="F102" s="6">
        <f>F95*F29*Parameters!$C$6</f>
        <v>538609.5</v>
      </c>
      <c r="G102" s="6">
        <f>G95*G29*Parameters!$C$6</f>
        <v>402772.5</v>
      </c>
      <c r="H102" s="6">
        <f>H95*H29*Parameters!$C$6</f>
        <v>205335</v>
      </c>
      <c r="I102" s="6">
        <f>I95*I29*Parameters!$C$6</f>
        <v>670761</v>
      </c>
      <c r="J102" s="6">
        <f>J95*J29*Parameters!$C$6</f>
        <v>492277.5</v>
      </c>
      <c r="K102" s="6">
        <f>K95*K29*Parameters!$C$6</f>
        <v>331695</v>
      </c>
      <c r="L102" s="6">
        <f>L95*L29*Parameters!$C$6</f>
        <v>538609.5</v>
      </c>
      <c r="M102" s="6">
        <f>M95*M29*Parameters!$C$6</f>
        <v>402772.5</v>
      </c>
      <c r="N102" s="6">
        <f>N95*N29*Parameters!$C$6</f>
        <v>205335</v>
      </c>
    </row>
    <row r="103" spans="2:15" x14ac:dyDescent="0.3">
      <c r="B103" s="23">
        <f>B9</f>
        <v>3</v>
      </c>
      <c r="C103" s="6">
        <f>C96*C30*Parameters!$C$6</f>
        <v>179010</v>
      </c>
      <c r="D103" s="6">
        <f>D96*D30*Parameters!$C$6</f>
        <v>106469.99999999999</v>
      </c>
      <c r="E103" s="6">
        <f>E96*E30*Parameters!$C$6</f>
        <v>179010</v>
      </c>
      <c r="F103" s="6">
        <f>F96*F30*Parameters!$C$6</f>
        <v>179010</v>
      </c>
      <c r="G103" s="6">
        <f>G96*G30*Parameters!$C$6</f>
        <v>106469.99999999999</v>
      </c>
      <c r="H103" s="6">
        <f>H96*H30*Parameters!$C$6</f>
        <v>106469.99999999999</v>
      </c>
      <c r="I103" s="6">
        <f>I96*I30*Parameters!$C$6</f>
        <v>298116</v>
      </c>
      <c r="J103" s="6">
        <f>J96*J30*Parameters!$C$6</f>
        <v>179010</v>
      </c>
      <c r="K103" s="6">
        <f>K96*K30*Parameters!$C$6</f>
        <v>147420</v>
      </c>
      <c r="L103" s="6">
        <f>L96*L30*Parameters!$C$6</f>
        <v>56160</v>
      </c>
      <c r="M103" s="6">
        <f>M96*M30*Parameters!$C$6</f>
        <v>106469.99999999999</v>
      </c>
      <c r="N103" s="6">
        <f>N96*N30*Parameters!$C$6</f>
        <v>106469.99999999999</v>
      </c>
    </row>
    <row r="104" spans="2:15" x14ac:dyDescent="0.3">
      <c r="B104" s="23">
        <f>B10</f>
        <v>4</v>
      </c>
      <c r="C104" s="6">
        <f>C97*C31*Parameters!$C$6</f>
        <v>134257.5</v>
      </c>
      <c r="D104" s="6">
        <f>D97*D31*Parameters!$C$6</f>
        <v>79852.5</v>
      </c>
      <c r="E104" s="6">
        <f>E97*E31*Parameters!$C$6</f>
        <v>23692.5</v>
      </c>
      <c r="F104" s="6">
        <f>F97*F31*Parameters!$C$6</f>
        <v>79852.5</v>
      </c>
      <c r="G104" s="6">
        <f>G97*G31*Parameters!$C$6</f>
        <v>79852.5</v>
      </c>
      <c r="H104" s="6">
        <f>H97*H31*Parameters!$C$6</f>
        <v>23692.5</v>
      </c>
      <c r="I104" s="6">
        <f>I97*I31*Parameters!$C$6</f>
        <v>79852.5</v>
      </c>
      <c r="J104" s="6">
        <f>J97*J31*Parameters!$C$6</f>
        <v>134257.5</v>
      </c>
      <c r="K104" s="6">
        <f>K97*K31*Parameters!$C$6</f>
        <v>79852.5</v>
      </c>
      <c r="L104" s="6">
        <f>L97*L31*Parameters!$C$6</f>
        <v>134257.5</v>
      </c>
      <c r="M104" s="6">
        <f>M97*M31*Parameters!$C$6</f>
        <v>79852.5</v>
      </c>
      <c r="N104" s="6">
        <f>N97*N31*Parameters!$C$6</f>
        <v>23692.5</v>
      </c>
    </row>
    <row r="105" spans="2:15" s="1" customFormat="1" ht="13.95" customHeight="1" x14ac:dyDescent="0.3">
      <c r="B105" s="1" t="s">
        <v>21</v>
      </c>
      <c r="C105" s="17">
        <f>SUM(C101:C104)</f>
        <v>1869250.5</v>
      </c>
      <c r="D105" s="17">
        <f t="shared" ref="D105:N105" si="15">SUM(D101:D104)</f>
        <v>1141920</v>
      </c>
      <c r="E105" s="17">
        <f t="shared" si="15"/>
        <v>1168830</v>
      </c>
      <c r="F105" s="17">
        <f t="shared" si="15"/>
        <v>1814845.5</v>
      </c>
      <c r="G105" s="17">
        <f t="shared" si="15"/>
        <v>1305135</v>
      </c>
      <c r="H105" s="17">
        <f t="shared" si="15"/>
        <v>1096290</v>
      </c>
      <c r="I105" s="17">
        <f t="shared" si="15"/>
        <v>2315722.5</v>
      </c>
      <c r="J105" s="17">
        <f t="shared" si="15"/>
        <v>1735402.5</v>
      </c>
      <c r="K105" s="17">
        <f t="shared" si="15"/>
        <v>1011465</v>
      </c>
      <c r="L105" s="17">
        <f t="shared" si="15"/>
        <v>1746400.5</v>
      </c>
      <c r="M105" s="17">
        <f t="shared" si="15"/>
        <v>1305135</v>
      </c>
      <c r="N105" s="17">
        <f t="shared" si="15"/>
        <v>787995</v>
      </c>
    </row>
    <row r="107" spans="2:15" x14ac:dyDescent="0.3">
      <c r="B107" s="1" t="s">
        <v>59</v>
      </c>
    </row>
    <row r="108" spans="2:15" x14ac:dyDescent="0.3">
      <c r="C108" s="22" t="str">
        <f>C100</f>
        <v>Jan</v>
      </c>
      <c r="D108" s="22" t="str">
        <f t="shared" ref="D108:N108" si="16">D100</f>
        <v>Feb</v>
      </c>
      <c r="E108" s="22" t="str">
        <f t="shared" si="16"/>
        <v>Mar</v>
      </c>
      <c r="F108" s="22" t="str">
        <f t="shared" si="16"/>
        <v>Apr</v>
      </c>
      <c r="G108" s="22" t="str">
        <f t="shared" si="16"/>
        <v>May</v>
      </c>
      <c r="H108" s="22" t="str">
        <f t="shared" si="16"/>
        <v>Jun</v>
      </c>
      <c r="I108" s="22" t="str">
        <f t="shared" si="16"/>
        <v>Jul</v>
      </c>
      <c r="J108" s="22" t="str">
        <f t="shared" si="16"/>
        <v>Aug</v>
      </c>
      <c r="K108" s="22" t="str">
        <f t="shared" si="16"/>
        <v>Sep</v>
      </c>
      <c r="L108" s="22" t="str">
        <f t="shared" si="16"/>
        <v>Oct</v>
      </c>
      <c r="M108" s="22" t="str">
        <f t="shared" si="16"/>
        <v>Nov</v>
      </c>
      <c r="N108" s="22" t="str">
        <f t="shared" si="16"/>
        <v>Dec</v>
      </c>
      <c r="O108" s="22" t="s">
        <v>21</v>
      </c>
    </row>
    <row r="109" spans="2:15" x14ac:dyDescent="0.3">
      <c r="B109" t="s">
        <v>18</v>
      </c>
      <c r="C109" s="11">
        <f t="shared" ref="C109:N109" si="17">C55</f>
        <v>2237332.6851031515</v>
      </c>
      <c r="D109" s="11">
        <f t="shared" si="17"/>
        <v>1782143.526135932</v>
      </c>
      <c r="E109" s="11">
        <f t="shared" si="17"/>
        <v>1860112.305404379</v>
      </c>
      <c r="F109" s="11">
        <f t="shared" si="17"/>
        <v>2192779.0969497529</v>
      </c>
      <c r="G109" s="11">
        <f t="shared" si="17"/>
        <v>1915804.290596127</v>
      </c>
      <c r="H109" s="11">
        <f t="shared" si="17"/>
        <v>1800707.521199848</v>
      </c>
      <c r="I109" s="11">
        <f t="shared" si="17"/>
        <v>2327924.9810150615</v>
      </c>
      <c r="J109" s="11">
        <f t="shared" si="17"/>
        <v>2082880.2461713706</v>
      </c>
      <c r="K109" s="11">
        <f t="shared" si="17"/>
        <v>1641057.1636501709</v>
      </c>
      <c r="L109" s="11">
        <f t="shared" si="17"/>
        <v>2163076.7048474876</v>
      </c>
      <c r="M109" s="11">
        <f t="shared" si="17"/>
        <v>1915804.290596127</v>
      </c>
      <c r="N109" s="11">
        <f t="shared" si="17"/>
        <v>1548237.1883305912</v>
      </c>
      <c r="O109" s="11">
        <f>SUM(C109:N109)</f>
        <v>23467860</v>
      </c>
    </row>
    <row r="110" spans="2:15" x14ac:dyDescent="0.3">
      <c r="B110" t="s">
        <v>102</v>
      </c>
      <c r="C110" s="11">
        <f t="shared" ref="C110:N110" si="18">C72</f>
        <v>1234319.4380458172</v>
      </c>
      <c r="D110" s="11">
        <f t="shared" si="18"/>
        <v>983195.03860270837</v>
      </c>
      <c r="E110" s="11">
        <f t="shared" si="18"/>
        <v>1026209.8215415769</v>
      </c>
      <c r="F110" s="11">
        <f t="shared" si="18"/>
        <v>1209739.5620807493</v>
      </c>
      <c r="G110" s="11">
        <f t="shared" si="18"/>
        <v>1056934.6664979118</v>
      </c>
      <c r="H110" s="11">
        <f t="shared" si="18"/>
        <v>993436.65358815342</v>
      </c>
      <c r="I110" s="11">
        <f t="shared" si="18"/>
        <v>1284298.5191747879</v>
      </c>
      <c r="J110" s="11">
        <f t="shared" si="18"/>
        <v>1149109.2013669156</v>
      </c>
      <c r="K110" s="11">
        <f t="shared" si="18"/>
        <v>905358.76471332752</v>
      </c>
      <c r="L110" s="11">
        <f t="shared" si="18"/>
        <v>1193352.9781040375</v>
      </c>
      <c r="M110" s="11">
        <f t="shared" si="18"/>
        <v>1056934.6664979118</v>
      </c>
      <c r="N110" s="11">
        <f t="shared" si="18"/>
        <v>854150.68978610297</v>
      </c>
      <c r="O110" s="11">
        <f t="shared" ref="O110:O116" si="19">SUM(C110:N110)</f>
        <v>12947040.000000002</v>
      </c>
    </row>
    <row r="111" spans="2:15" x14ac:dyDescent="0.3">
      <c r="B111" t="s">
        <v>26</v>
      </c>
      <c r="C111" s="11">
        <f t="shared" ref="C111:N111" si="20">C90</f>
        <v>2159352.032013162</v>
      </c>
      <c r="D111" s="11">
        <f t="shared" si="20"/>
        <v>1720028.1702063025</v>
      </c>
      <c r="E111" s="11">
        <f t="shared" si="20"/>
        <v>1795279.4026528283</v>
      </c>
      <c r="F111" s="11">
        <f t="shared" si="20"/>
        <v>2116351.3277580054</v>
      </c>
      <c r="G111" s="11">
        <f t="shared" si="20"/>
        <v>1849030.2829717756</v>
      </c>
      <c r="H111" s="11">
        <f t="shared" si="20"/>
        <v>1737945.1303126183</v>
      </c>
      <c r="I111" s="11">
        <f t="shared" si="20"/>
        <v>2246786.7973319832</v>
      </c>
      <c r="J111" s="11">
        <f t="shared" si="20"/>
        <v>2010282.9239286166</v>
      </c>
      <c r="K111" s="11">
        <f t="shared" si="20"/>
        <v>1583859.2733983037</v>
      </c>
      <c r="L111" s="11">
        <f t="shared" si="20"/>
        <v>2087684.1915879</v>
      </c>
      <c r="M111" s="11">
        <f t="shared" si="20"/>
        <v>1849030.2829717756</v>
      </c>
      <c r="N111" s="11">
        <f t="shared" si="20"/>
        <v>1494274.4728667259</v>
      </c>
      <c r="O111" s="11">
        <f t="shared" si="19"/>
        <v>22649904.287999995</v>
      </c>
    </row>
    <row r="112" spans="2:15" x14ac:dyDescent="0.3">
      <c r="B112" t="s">
        <v>73</v>
      </c>
      <c r="C112" s="11">
        <f>-C105</f>
        <v>-1869250.5</v>
      </c>
      <c r="D112" s="11">
        <f t="shared" ref="D112:N112" si="21">-D105</f>
        <v>-1141920</v>
      </c>
      <c r="E112" s="11">
        <f t="shared" si="21"/>
        <v>-1168830</v>
      </c>
      <c r="F112" s="11">
        <f t="shared" si="21"/>
        <v>-1814845.5</v>
      </c>
      <c r="G112" s="11">
        <f t="shared" si="21"/>
        <v>-1305135</v>
      </c>
      <c r="H112" s="11">
        <f t="shared" si="21"/>
        <v>-1096290</v>
      </c>
      <c r="I112" s="11">
        <f t="shared" si="21"/>
        <v>-2315722.5</v>
      </c>
      <c r="J112" s="11">
        <f t="shared" si="21"/>
        <v>-1735402.5</v>
      </c>
      <c r="K112" s="11">
        <f t="shared" si="21"/>
        <v>-1011465</v>
      </c>
      <c r="L112" s="11">
        <f t="shared" si="21"/>
        <v>-1746400.5</v>
      </c>
      <c r="M112" s="11">
        <f t="shared" si="21"/>
        <v>-1305135</v>
      </c>
      <c r="N112" s="11">
        <f t="shared" si="21"/>
        <v>-787995</v>
      </c>
      <c r="O112" s="11">
        <f t="shared" si="19"/>
        <v>-17298391.5</v>
      </c>
    </row>
    <row r="113" spans="2:15" x14ac:dyDescent="0.3">
      <c r="B113" t="s">
        <v>24</v>
      </c>
      <c r="C113" s="11">
        <f>-C90/Parameters!$C$7*Parameters!$C$13</f>
        <v>-196304.73018301473</v>
      </c>
      <c r="D113" s="11">
        <f>-D90/Parameters!$C$7*Parameters!$C$13</f>
        <v>-156366.19729148204</v>
      </c>
      <c r="E113" s="11">
        <f>-E90/Parameters!$C$7*Parameters!$C$13</f>
        <v>-163207.21842298438</v>
      </c>
      <c r="F113" s="11">
        <f>-F90/Parameters!$C$7*Parameters!$C$13</f>
        <v>-192395.57525072776</v>
      </c>
      <c r="G113" s="11">
        <f>-G90/Parameters!$C$7*Parameters!$C$13</f>
        <v>-168093.66208834323</v>
      </c>
      <c r="H113" s="11">
        <f>-H90/Parameters!$C$7*Parameters!$C$13</f>
        <v>-157995.01184660167</v>
      </c>
      <c r="I113" s="11">
        <f>-I90/Parameters!$C$7*Parameters!$C$13</f>
        <v>-204253.34521199847</v>
      </c>
      <c r="J113" s="11">
        <f>-J90/Parameters!$C$7*Parameters!$C$13</f>
        <v>-182752.99308441969</v>
      </c>
      <c r="K113" s="11">
        <f>-K90/Parameters!$C$7*Parameters!$C$13</f>
        <v>-143987.20667257305</v>
      </c>
      <c r="L113" s="11">
        <f>-L90/Parameters!$C$7*Parameters!$C$13</f>
        <v>-189789.47196253637</v>
      </c>
      <c r="M113" s="11">
        <f>-M90/Parameters!$C$7*Parameters!$C$13</f>
        <v>-168093.66208834323</v>
      </c>
      <c r="N113" s="11">
        <f>-N90/Parameters!$C$7*Parameters!$C$13</f>
        <v>-135843.13389697508</v>
      </c>
      <c r="O113" s="11">
        <f t="shared" si="19"/>
        <v>-2059082.2079999999</v>
      </c>
    </row>
    <row r="114" spans="2:15" x14ac:dyDescent="0.3">
      <c r="B114" t="s">
        <v>36</v>
      </c>
      <c r="C114" s="11">
        <f>-Parameters!$C$12</f>
        <v>-300000</v>
      </c>
      <c r="D114" s="11">
        <f>-Parameters!$C$12</f>
        <v>-300000</v>
      </c>
      <c r="E114" s="11">
        <f>-Parameters!$C$12</f>
        <v>-300000</v>
      </c>
      <c r="F114" s="11">
        <f>-Parameters!$C$12</f>
        <v>-300000</v>
      </c>
      <c r="G114" s="11">
        <f>-Parameters!$C$12</f>
        <v>-300000</v>
      </c>
      <c r="H114" s="11">
        <f>-Parameters!$C$12</f>
        <v>-300000</v>
      </c>
      <c r="I114" s="11">
        <f>-Parameters!$C$12</f>
        <v>-300000</v>
      </c>
      <c r="J114" s="11">
        <f>-Parameters!$C$12</f>
        <v>-300000</v>
      </c>
      <c r="K114" s="11">
        <f>-Parameters!$C$12</f>
        <v>-300000</v>
      </c>
      <c r="L114" s="11">
        <f>-Parameters!$C$12</f>
        <v>-300000</v>
      </c>
      <c r="M114" s="11">
        <f>-Parameters!$C$12</f>
        <v>-300000</v>
      </c>
      <c r="N114" s="11">
        <f>-Parameters!$C$12</f>
        <v>-300000</v>
      </c>
      <c r="O114" s="11">
        <f t="shared" si="19"/>
        <v>-3600000</v>
      </c>
    </row>
    <row r="115" spans="2:15" x14ac:dyDescent="0.3">
      <c r="B115" t="s">
        <v>79</v>
      </c>
      <c r="C115" s="12">
        <f>-(Parameters!$C$9*Parameters!$C$10*Parameters!$C$5*Parameters!$C$11)</f>
        <v>-192000</v>
      </c>
      <c r="D115" s="12">
        <f>-(Parameters!$C$9*Parameters!$C$10*Parameters!$C$5*Parameters!$C$11)</f>
        <v>-192000</v>
      </c>
      <c r="E115" s="12">
        <f>-(Parameters!$C$9*Parameters!$C$10*Parameters!$C$5*Parameters!$C$11)</f>
        <v>-192000</v>
      </c>
      <c r="F115" s="12">
        <f>-(Parameters!$C$9*Parameters!$C$10*Parameters!$C$5*Parameters!$C$11)</f>
        <v>-192000</v>
      </c>
      <c r="G115" s="12">
        <f>-(Parameters!$C$9*Parameters!$C$10*Parameters!$C$5*Parameters!$C$11)</f>
        <v>-192000</v>
      </c>
      <c r="H115" s="12">
        <f>-(Parameters!$C$9*Parameters!$C$10*Parameters!$C$5*Parameters!$C$11)</f>
        <v>-192000</v>
      </c>
      <c r="I115" s="12">
        <f>-(Parameters!$C$9*Parameters!$C$10*Parameters!$C$5*Parameters!$C$11)</f>
        <v>-192000</v>
      </c>
      <c r="J115" s="12">
        <f>-(Parameters!$C$9*Parameters!$C$10*Parameters!$C$5*Parameters!$C$11)</f>
        <v>-192000</v>
      </c>
      <c r="K115" s="12">
        <f>-(Parameters!$C$9*Parameters!$C$10*Parameters!$C$5*Parameters!$C$11)</f>
        <v>-192000</v>
      </c>
      <c r="L115" s="12">
        <f>-(Parameters!$C$9*Parameters!$C$10*Parameters!$C$5*Parameters!$C$11)</f>
        <v>-192000</v>
      </c>
      <c r="M115" s="12">
        <f>-(Parameters!$C$9*Parameters!$C$10*Parameters!$C$5*Parameters!$C$11)</f>
        <v>-192000</v>
      </c>
      <c r="N115" s="12">
        <f>-(Parameters!$C$9*Parameters!$C$10*Parameters!$C$5*Parameters!$C$11)</f>
        <v>-192000</v>
      </c>
      <c r="O115" s="11">
        <f t="shared" si="19"/>
        <v>-2304000</v>
      </c>
    </row>
    <row r="116" spans="2:15" s="1" customFormat="1" x14ac:dyDescent="0.3">
      <c r="B116" s="1" t="s">
        <v>25</v>
      </c>
      <c r="C116" s="19">
        <f>SUM(C109:C115)</f>
        <v>3073448.9249791158</v>
      </c>
      <c r="D116" s="19">
        <f t="shared" ref="D116:N116" si="22">SUM(D109:D115)</f>
        <v>2695080.5376534611</v>
      </c>
      <c r="E116" s="19">
        <f t="shared" si="22"/>
        <v>2857564.3111757995</v>
      </c>
      <c r="F116" s="19">
        <f t="shared" si="22"/>
        <v>3019628.91153778</v>
      </c>
      <c r="G116" s="19">
        <f t="shared" si="22"/>
        <v>2856540.5779774715</v>
      </c>
      <c r="H116" s="19">
        <f t="shared" si="22"/>
        <v>2785804.2932540183</v>
      </c>
      <c r="I116" s="19">
        <f t="shared" si="22"/>
        <v>2847034.4523098338</v>
      </c>
      <c r="J116" s="19">
        <f t="shared" si="22"/>
        <v>2832116.8783824835</v>
      </c>
      <c r="K116" s="19">
        <f t="shared" si="22"/>
        <v>2482822.9950892287</v>
      </c>
      <c r="L116" s="19">
        <f t="shared" si="22"/>
        <v>3015923.9025768884</v>
      </c>
      <c r="M116" s="19">
        <f t="shared" si="22"/>
        <v>2856540.5779774715</v>
      </c>
      <c r="N116" s="19">
        <f t="shared" si="22"/>
        <v>2480824.2170864455</v>
      </c>
      <c r="O116" s="19">
        <f t="shared" si="19"/>
        <v>33803330.579999998</v>
      </c>
    </row>
    <row r="140" spans="3:14" x14ac:dyDescent="0.3">
      <c r="C140" s="9"/>
      <c r="D140" s="9"/>
      <c r="E140" s="9"/>
      <c r="F140" s="9"/>
      <c r="G140" s="9"/>
      <c r="H140" s="9"/>
      <c r="I140" s="9"/>
      <c r="J140" s="9"/>
      <c r="K140" s="9"/>
      <c r="L140" s="9"/>
      <c r="M140" s="9"/>
      <c r="N140" s="9"/>
    </row>
    <row r="141" spans="3:14" x14ac:dyDescent="0.3">
      <c r="C141" s="9"/>
      <c r="D141" s="9"/>
      <c r="E141" s="9"/>
      <c r="F141" s="9"/>
      <c r="G141" s="9"/>
      <c r="H141" s="9"/>
      <c r="I141" s="9"/>
      <c r="J141" s="9"/>
      <c r="K141" s="9"/>
      <c r="L141" s="9"/>
      <c r="M141" s="9"/>
      <c r="N141" s="9"/>
    </row>
    <row r="142" spans="3:14" x14ac:dyDescent="0.3">
      <c r="C142" s="9"/>
      <c r="D142" s="9"/>
      <c r="E142" s="9"/>
      <c r="F142" s="9"/>
      <c r="G142" s="9"/>
      <c r="H142" s="9"/>
      <c r="I142" s="9"/>
      <c r="J142" s="9"/>
      <c r="K142" s="9"/>
      <c r="L142" s="9"/>
      <c r="M142" s="9"/>
      <c r="N142" s="9"/>
    </row>
    <row r="143" spans="3:14" x14ac:dyDescent="0.3">
      <c r="C143" s="9"/>
      <c r="D143" s="9"/>
      <c r="E143" s="9"/>
      <c r="F143" s="9"/>
      <c r="G143" s="9"/>
      <c r="H143" s="9"/>
      <c r="I143" s="9"/>
      <c r="J143" s="9"/>
      <c r="K143" s="9"/>
      <c r="L143" s="9"/>
      <c r="M143" s="9"/>
      <c r="N143" s="9"/>
    </row>
    <row r="144" spans="3:14" x14ac:dyDescent="0.3">
      <c r="C144" s="6"/>
      <c r="D144" s="6"/>
      <c r="E144" s="6"/>
      <c r="F144" s="6"/>
      <c r="G144" s="6"/>
      <c r="H144" s="6"/>
      <c r="I144" s="6"/>
      <c r="J144" s="6"/>
      <c r="K144" s="6"/>
      <c r="L144" s="6"/>
      <c r="M144" s="6"/>
      <c r="N144" s="6"/>
    </row>
    <row r="145" spans="3:14" x14ac:dyDescent="0.3">
      <c r="C145" s="6"/>
    </row>
    <row r="146" spans="3:14" x14ac:dyDescent="0.3">
      <c r="C146" s="6"/>
    </row>
    <row r="148" spans="3:14" x14ac:dyDescent="0.3">
      <c r="C148" s="6"/>
      <c r="D148" s="6"/>
      <c r="E148" s="6"/>
      <c r="F148" s="6"/>
      <c r="G148" s="6"/>
      <c r="H148" s="6"/>
      <c r="I148" s="6"/>
      <c r="J148" s="6"/>
      <c r="K148" s="6"/>
      <c r="L148" s="6"/>
      <c r="M148" s="6"/>
      <c r="N148" s="6"/>
    </row>
    <row r="149" spans="3:14" x14ac:dyDescent="0.3">
      <c r="C149" s="6"/>
      <c r="D149" s="6"/>
      <c r="E149" s="6"/>
      <c r="F149" s="6"/>
      <c r="G149" s="6"/>
      <c r="H149" s="6"/>
      <c r="I149" s="6"/>
      <c r="J149" s="6"/>
      <c r="K149" s="6"/>
      <c r="L149" s="6"/>
      <c r="M149" s="6"/>
      <c r="N149" s="6"/>
    </row>
    <row r="150" spans="3:14" x14ac:dyDescent="0.3">
      <c r="C150" s="6"/>
      <c r="D150" s="6"/>
      <c r="E150" s="6"/>
      <c r="F150" s="6"/>
      <c r="G150" s="6"/>
      <c r="H150" s="6"/>
      <c r="I150" s="6"/>
      <c r="J150" s="6"/>
      <c r="K150" s="6"/>
      <c r="L150" s="6"/>
      <c r="M150" s="6"/>
      <c r="N150" s="6"/>
    </row>
    <row r="151" spans="3:14" x14ac:dyDescent="0.3">
      <c r="C151" s="6"/>
      <c r="D151" s="6"/>
      <c r="E151" s="6"/>
      <c r="F151" s="6"/>
      <c r="G151" s="6"/>
      <c r="H151" s="6"/>
      <c r="I151" s="6"/>
      <c r="J151" s="6"/>
      <c r="K151" s="6"/>
      <c r="L151" s="6"/>
      <c r="M151" s="6"/>
      <c r="N151" s="6"/>
    </row>
    <row r="152" spans="3:14" x14ac:dyDescent="0.3">
      <c r="C152" s="6"/>
      <c r="D152" s="6"/>
      <c r="E152" s="6"/>
      <c r="F152" s="6"/>
      <c r="G152" s="6"/>
      <c r="H152" s="6"/>
      <c r="I152" s="6"/>
      <c r="J152" s="6"/>
      <c r="K152" s="6"/>
      <c r="L152" s="6"/>
      <c r="M152" s="6"/>
      <c r="N152" s="6"/>
    </row>
    <row r="153" spans="3:14" x14ac:dyDescent="0.3">
      <c r="C153" s="6"/>
    </row>
    <row r="156" spans="3:14" x14ac:dyDescent="0.3">
      <c r="C156" s="6"/>
      <c r="D156" s="6"/>
      <c r="E156" s="6"/>
      <c r="F156" s="6"/>
      <c r="G156" s="6"/>
      <c r="H156" s="6"/>
      <c r="I156" s="6"/>
      <c r="J156" s="6"/>
      <c r="K156" s="6"/>
      <c r="L156" s="6"/>
      <c r="M156" s="6"/>
      <c r="N156" s="6"/>
    </row>
    <row r="160" spans="3:14" x14ac:dyDescent="0.3">
      <c r="C160" s="9"/>
      <c r="D160" s="9"/>
      <c r="E160" s="9"/>
      <c r="F160" s="9"/>
      <c r="G160" s="9"/>
      <c r="H160" s="9"/>
      <c r="I160" s="9"/>
      <c r="J160" s="9"/>
      <c r="K160" s="9"/>
      <c r="L160" s="9"/>
      <c r="M160" s="9"/>
      <c r="N160" s="9"/>
    </row>
    <row r="161" spans="3:14" x14ac:dyDescent="0.3">
      <c r="C161" s="9"/>
      <c r="D161" s="9"/>
      <c r="E161" s="9"/>
      <c r="F161" s="9"/>
      <c r="G161" s="9"/>
      <c r="H161" s="9"/>
      <c r="I161" s="9"/>
      <c r="J161" s="9"/>
      <c r="K161" s="9"/>
      <c r="L161" s="9"/>
      <c r="M161" s="9"/>
      <c r="N161" s="9"/>
    </row>
    <row r="162" spans="3:14" x14ac:dyDescent="0.3">
      <c r="C162" s="9"/>
      <c r="D162" s="9"/>
      <c r="E162" s="9"/>
      <c r="F162" s="9"/>
      <c r="G162" s="9"/>
      <c r="H162" s="9"/>
      <c r="I162" s="9"/>
      <c r="J162" s="9"/>
      <c r="K162" s="9"/>
      <c r="L162" s="9"/>
      <c r="M162" s="9"/>
      <c r="N162" s="9"/>
    </row>
    <row r="163" spans="3:14" x14ac:dyDescent="0.3">
      <c r="C163" s="9"/>
      <c r="D163" s="9"/>
      <c r="E163" s="9"/>
      <c r="F163" s="9"/>
      <c r="G163" s="9"/>
      <c r="H163" s="9"/>
      <c r="I163" s="9"/>
      <c r="J163" s="9"/>
      <c r="K163" s="9"/>
      <c r="L163" s="9"/>
      <c r="M163" s="9"/>
      <c r="N163" s="9"/>
    </row>
    <row r="164" spans="3:14" x14ac:dyDescent="0.3">
      <c r="C164" s="9"/>
      <c r="D164" s="9"/>
      <c r="E164" s="9"/>
      <c r="F164" s="9"/>
      <c r="G164" s="9"/>
      <c r="H164" s="9"/>
      <c r="I164" s="9"/>
      <c r="J164" s="9"/>
      <c r="K164" s="9"/>
      <c r="L164" s="9"/>
      <c r="M164" s="9"/>
      <c r="N164" s="9"/>
    </row>
    <row r="168" spans="3:14" x14ac:dyDescent="0.3">
      <c r="C168" s="9"/>
      <c r="D168" s="9"/>
      <c r="E168" s="9"/>
      <c r="F168" s="9"/>
      <c r="G168" s="9"/>
      <c r="H168" s="9"/>
      <c r="I168" s="9"/>
      <c r="J168" s="9"/>
      <c r="K168" s="9"/>
      <c r="L168" s="9"/>
      <c r="M168" s="9"/>
      <c r="N168" s="9"/>
    </row>
    <row r="169" spans="3:14" x14ac:dyDescent="0.3">
      <c r="C169" s="9"/>
      <c r="D169" s="9"/>
      <c r="E169" s="9"/>
      <c r="F169" s="9"/>
      <c r="G169" s="9"/>
      <c r="H169" s="9"/>
      <c r="I169" s="9"/>
      <c r="J169" s="9"/>
      <c r="K169" s="9"/>
      <c r="L169" s="9"/>
      <c r="M169" s="9"/>
      <c r="N169" s="9"/>
    </row>
    <row r="170" spans="3:14" x14ac:dyDescent="0.3">
      <c r="C170" s="9"/>
      <c r="D170" s="9"/>
      <c r="E170" s="9"/>
      <c r="F170" s="9"/>
      <c r="G170" s="9"/>
      <c r="H170" s="9"/>
      <c r="I170" s="9"/>
      <c r="J170" s="9"/>
      <c r="K170" s="9"/>
      <c r="L170" s="9"/>
      <c r="M170" s="9"/>
      <c r="N170" s="9"/>
    </row>
    <row r="171" spans="3:14" x14ac:dyDescent="0.3">
      <c r="C171" s="9"/>
      <c r="D171" s="9"/>
      <c r="E171" s="9"/>
      <c r="F171" s="9"/>
      <c r="G171" s="9"/>
      <c r="H171" s="9"/>
      <c r="I171" s="9"/>
      <c r="J171" s="9"/>
      <c r="K171" s="9"/>
      <c r="L171" s="9"/>
      <c r="M171" s="9"/>
      <c r="N171" s="9"/>
    </row>
    <row r="172" spans="3:14" x14ac:dyDescent="0.3">
      <c r="C172" s="6"/>
      <c r="D172" s="6"/>
      <c r="E172" s="6"/>
      <c r="F172" s="6"/>
      <c r="G172" s="6"/>
      <c r="H172" s="6"/>
      <c r="I172" s="6"/>
      <c r="J172" s="6"/>
      <c r="K172" s="6"/>
      <c r="L172" s="6"/>
      <c r="M172" s="6"/>
      <c r="N172" s="6"/>
    </row>
    <row r="175" spans="3:14" x14ac:dyDescent="0.3">
      <c r="C175" s="6"/>
      <c r="D175" s="6"/>
      <c r="E175" s="6"/>
      <c r="F175" s="6"/>
      <c r="G175" s="6"/>
      <c r="H175" s="6"/>
      <c r="I175" s="6"/>
      <c r="J175" s="6"/>
      <c r="K175" s="6"/>
      <c r="L175" s="6"/>
      <c r="M175" s="6"/>
      <c r="N175" s="6"/>
    </row>
    <row r="179" spans="3:14" x14ac:dyDescent="0.3">
      <c r="C179" s="9"/>
      <c r="D179" s="9"/>
      <c r="E179" s="9"/>
      <c r="F179" s="9"/>
      <c r="G179" s="9"/>
      <c r="H179" s="9"/>
      <c r="I179" s="9"/>
      <c r="J179" s="9"/>
      <c r="K179" s="9"/>
      <c r="L179" s="9"/>
      <c r="M179" s="9"/>
      <c r="N179" s="9"/>
    </row>
    <row r="180" spans="3:14" x14ac:dyDescent="0.3">
      <c r="C180" s="9"/>
      <c r="D180" s="9"/>
      <c r="E180" s="9"/>
      <c r="F180" s="9"/>
      <c r="G180" s="9"/>
      <c r="H180" s="9"/>
      <c r="I180" s="9"/>
      <c r="J180" s="9"/>
      <c r="K180" s="9"/>
      <c r="L180" s="9"/>
      <c r="M180" s="9"/>
      <c r="N180" s="9"/>
    </row>
    <row r="181" spans="3:14" x14ac:dyDescent="0.3">
      <c r="C181" s="9"/>
      <c r="D181" s="9"/>
      <c r="E181" s="9"/>
      <c r="F181" s="9"/>
      <c r="G181" s="9"/>
      <c r="H181" s="9"/>
      <c r="I181" s="9"/>
      <c r="J181" s="9"/>
      <c r="K181" s="9"/>
      <c r="L181" s="9"/>
      <c r="M181" s="9"/>
      <c r="N181" s="9"/>
    </row>
    <row r="182" spans="3:14" x14ac:dyDescent="0.3">
      <c r="C182" s="9"/>
      <c r="D182" s="9"/>
      <c r="E182" s="9"/>
      <c r="F182" s="9"/>
      <c r="G182" s="9"/>
      <c r="H182" s="9"/>
      <c r="I182" s="9"/>
      <c r="J182" s="9"/>
      <c r="K182" s="9"/>
      <c r="L182" s="9"/>
      <c r="M182" s="9"/>
      <c r="N182" s="9"/>
    </row>
    <row r="183" spans="3:14" x14ac:dyDescent="0.3">
      <c r="C183" s="9"/>
      <c r="D183" s="9"/>
      <c r="E183" s="9"/>
      <c r="F183" s="9"/>
      <c r="G183" s="9"/>
      <c r="H183" s="9"/>
      <c r="I183" s="9"/>
      <c r="J183" s="9"/>
      <c r="K183" s="9"/>
      <c r="L183" s="9"/>
      <c r="M183" s="9"/>
      <c r="N183" s="9"/>
    </row>
    <row r="187" spans="3:14" x14ac:dyDescent="0.3">
      <c r="C187" s="9"/>
      <c r="D187" s="9"/>
      <c r="E187" s="9"/>
      <c r="F187" s="9"/>
      <c r="G187" s="9"/>
      <c r="H187" s="9"/>
      <c r="I187" s="9"/>
      <c r="J187" s="9"/>
      <c r="K187" s="9"/>
      <c r="L187" s="9"/>
      <c r="M187" s="9"/>
      <c r="N187" s="9"/>
    </row>
    <row r="188" spans="3:14" x14ac:dyDescent="0.3">
      <c r="C188" s="9"/>
      <c r="D188" s="9"/>
      <c r="E188" s="9"/>
      <c r="F188" s="9"/>
      <c r="G188" s="9"/>
      <c r="H188" s="9"/>
      <c r="I188" s="9"/>
      <c r="J188" s="9"/>
      <c r="K188" s="9"/>
      <c r="L188" s="9"/>
      <c r="M188" s="9"/>
      <c r="N188" s="9"/>
    </row>
    <row r="189" spans="3:14" x14ac:dyDescent="0.3">
      <c r="C189" s="9"/>
      <c r="D189" s="9"/>
      <c r="E189" s="9"/>
      <c r="F189" s="9"/>
      <c r="G189" s="9"/>
      <c r="H189" s="9"/>
      <c r="I189" s="9"/>
      <c r="J189" s="9"/>
      <c r="K189" s="9"/>
      <c r="L189" s="9"/>
      <c r="M189" s="9"/>
      <c r="N189" s="9"/>
    </row>
    <row r="190" spans="3:14" x14ac:dyDescent="0.3">
      <c r="C190" s="9"/>
      <c r="D190" s="9"/>
      <c r="E190" s="9"/>
      <c r="F190" s="9"/>
      <c r="G190" s="9"/>
      <c r="H190" s="9"/>
      <c r="I190" s="9"/>
      <c r="J190" s="9"/>
      <c r="K190" s="9"/>
      <c r="L190" s="9"/>
      <c r="M190" s="9"/>
      <c r="N190" s="9"/>
    </row>
    <row r="191" spans="3:14" x14ac:dyDescent="0.3">
      <c r="C191" s="6"/>
      <c r="D191" s="6"/>
      <c r="E191" s="6"/>
      <c r="F191" s="6"/>
      <c r="G191" s="6"/>
      <c r="H191" s="6"/>
      <c r="I191" s="6"/>
      <c r="J191" s="6"/>
      <c r="K191" s="6"/>
      <c r="L191" s="6"/>
      <c r="M191" s="6"/>
      <c r="N191" s="6"/>
    </row>
    <row r="195" spans="3:14" x14ac:dyDescent="0.3">
      <c r="C195" s="6"/>
      <c r="D195" s="6"/>
      <c r="E195" s="6"/>
      <c r="F195" s="6"/>
      <c r="G195" s="6"/>
      <c r="H195" s="6"/>
      <c r="I195" s="6"/>
      <c r="J195" s="6"/>
      <c r="K195" s="6"/>
      <c r="L195" s="6"/>
      <c r="M195" s="6"/>
      <c r="N195" s="6"/>
    </row>
    <row r="196" spans="3:14" x14ac:dyDescent="0.3">
      <c r="C196" s="6"/>
      <c r="D196" s="6"/>
      <c r="E196" s="6"/>
      <c r="F196" s="6"/>
      <c r="G196" s="6"/>
      <c r="H196" s="6"/>
      <c r="I196" s="6"/>
      <c r="J196" s="6"/>
      <c r="K196" s="6"/>
      <c r="L196" s="6"/>
      <c r="M196" s="6"/>
      <c r="N196" s="6"/>
    </row>
    <row r="197" spans="3:14" x14ac:dyDescent="0.3">
      <c r="C197" s="6"/>
      <c r="D197" s="6"/>
      <c r="E197" s="6"/>
      <c r="F197" s="6"/>
      <c r="G197" s="6"/>
      <c r="H197" s="6"/>
      <c r="I197" s="6"/>
      <c r="J197" s="6"/>
      <c r="K197" s="6"/>
      <c r="L197" s="6"/>
      <c r="M197" s="6"/>
      <c r="N197" s="6"/>
    </row>
    <row r="198" spans="3:14" x14ac:dyDescent="0.3">
      <c r="C198" s="6"/>
      <c r="D198" s="6"/>
      <c r="E198" s="6"/>
      <c r="F198" s="6"/>
      <c r="G198" s="6"/>
      <c r="H198" s="6"/>
      <c r="I198" s="6"/>
      <c r="J198" s="6"/>
      <c r="K198" s="6"/>
      <c r="L198" s="6"/>
      <c r="M198" s="6"/>
      <c r="N198" s="6"/>
    </row>
    <row r="199" spans="3:14" x14ac:dyDescent="0.3">
      <c r="C199" s="9"/>
      <c r="D199" s="9"/>
      <c r="E199" s="9"/>
      <c r="F199" s="9"/>
      <c r="G199" s="9"/>
      <c r="H199" s="9"/>
      <c r="I199" s="9"/>
      <c r="J199" s="9"/>
      <c r="K199" s="9"/>
      <c r="L199" s="9"/>
      <c r="M199" s="9"/>
      <c r="N199" s="9"/>
    </row>
    <row r="203" spans="3:14" x14ac:dyDescent="0.3">
      <c r="C203" s="10"/>
      <c r="D203" s="10"/>
      <c r="E203" s="10"/>
      <c r="F203" s="10"/>
      <c r="G203" s="10"/>
      <c r="H203" s="10"/>
      <c r="I203" s="10"/>
      <c r="J203" s="10"/>
      <c r="K203" s="10"/>
      <c r="L203" s="10"/>
      <c r="M203" s="10"/>
      <c r="N203" s="10"/>
    </row>
    <row r="204" spans="3:14" x14ac:dyDescent="0.3">
      <c r="C204" s="10"/>
      <c r="D204" s="10"/>
      <c r="E204" s="10"/>
      <c r="F204" s="10"/>
      <c r="G204" s="10"/>
      <c r="H204" s="10"/>
      <c r="I204" s="10"/>
      <c r="J204" s="10"/>
      <c r="K204" s="10"/>
      <c r="L204" s="10"/>
      <c r="M204" s="10"/>
      <c r="N204" s="10"/>
    </row>
    <row r="205" spans="3:14" x14ac:dyDescent="0.3">
      <c r="C205" s="10"/>
      <c r="D205" s="10"/>
      <c r="E205" s="10"/>
      <c r="F205" s="10"/>
      <c r="G205" s="10"/>
      <c r="H205" s="10"/>
      <c r="I205" s="10"/>
      <c r="J205" s="10"/>
      <c r="K205" s="10"/>
      <c r="L205" s="10"/>
      <c r="M205" s="10"/>
      <c r="N205" s="10"/>
    </row>
    <row r="206" spans="3:14" x14ac:dyDescent="0.3">
      <c r="C206" s="10"/>
      <c r="D206" s="10"/>
      <c r="E206" s="10"/>
      <c r="F206" s="10"/>
      <c r="G206" s="10"/>
      <c r="H206" s="10"/>
      <c r="I206" s="10"/>
      <c r="J206" s="10"/>
      <c r="K206" s="10"/>
      <c r="L206" s="10"/>
      <c r="M206" s="10"/>
      <c r="N206" s="10"/>
    </row>
    <row r="210" spans="3:14" x14ac:dyDescent="0.3">
      <c r="C210" s="6"/>
      <c r="D210" s="6"/>
      <c r="E210" s="6"/>
      <c r="F210" s="6"/>
      <c r="G210" s="6"/>
      <c r="H210" s="6"/>
      <c r="I210" s="6"/>
      <c r="J210" s="6"/>
      <c r="K210" s="6"/>
      <c r="L210" s="6"/>
      <c r="M210" s="6"/>
      <c r="N210" s="6"/>
    </row>
    <row r="211" spans="3:14" x14ac:dyDescent="0.3">
      <c r="C211" s="6"/>
      <c r="D211" s="6"/>
      <c r="E211" s="6"/>
      <c r="F211" s="6"/>
      <c r="G211" s="6"/>
      <c r="H211" s="6"/>
      <c r="I211" s="6"/>
      <c r="J211" s="6"/>
      <c r="K211" s="6"/>
      <c r="L211" s="6"/>
      <c r="M211" s="6"/>
      <c r="N211" s="6"/>
    </row>
    <row r="212" spans="3:14" x14ac:dyDescent="0.3">
      <c r="C212" s="6"/>
      <c r="D212" s="6"/>
      <c r="E212" s="6"/>
      <c r="F212" s="6"/>
      <c r="G212" s="6"/>
      <c r="H212" s="6"/>
      <c r="I212" s="6"/>
      <c r="J212" s="6"/>
      <c r="K212" s="6"/>
      <c r="L212" s="6"/>
      <c r="M212" s="6"/>
      <c r="N212" s="6"/>
    </row>
    <row r="213" spans="3:14" x14ac:dyDescent="0.3">
      <c r="C213" s="6"/>
      <c r="D213" s="6"/>
      <c r="E213" s="6"/>
      <c r="F213" s="6"/>
      <c r="G213" s="6"/>
      <c r="H213" s="6"/>
      <c r="I213" s="6"/>
      <c r="J213" s="6"/>
      <c r="K213" s="6"/>
      <c r="L213" s="6"/>
      <c r="M213" s="6"/>
      <c r="N213" s="6"/>
    </row>
    <row r="214" spans="3:14" x14ac:dyDescent="0.3">
      <c r="C214" s="6"/>
      <c r="D214" s="6"/>
      <c r="E214" s="6"/>
      <c r="F214" s="6"/>
      <c r="G214" s="6"/>
      <c r="H214" s="6"/>
      <c r="I214" s="6"/>
      <c r="J214" s="6"/>
      <c r="K214" s="6"/>
      <c r="L214" s="6"/>
      <c r="M214" s="6"/>
      <c r="N214" s="6"/>
    </row>
    <row r="217" spans="3:14" x14ac:dyDescent="0.3">
      <c r="C217" s="9"/>
      <c r="D217" s="9"/>
      <c r="E217" s="9"/>
      <c r="F217" s="9"/>
      <c r="G217" s="9"/>
      <c r="H217" s="9"/>
      <c r="I217" s="9"/>
      <c r="J217" s="9"/>
      <c r="K217" s="9"/>
      <c r="L217" s="9"/>
      <c r="M217" s="9"/>
      <c r="N217" s="9"/>
    </row>
    <row r="221" spans="3:14" x14ac:dyDescent="0.3">
      <c r="C221" s="9"/>
      <c r="D221" s="9"/>
      <c r="E221" s="9"/>
      <c r="F221" s="9"/>
      <c r="G221" s="9"/>
      <c r="H221" s="9"/>
      <c r="I221" s="9"/>
      <c r="J221" s="9"/>
      <c r="K221" s="9"/>
      <c r="L221" s="9"/>
      <c r="M221" s="9"/>
      <c r="N221" s="9"/>
    </row>
    <row r="222" spans="3:14" x14ac:dyDescent="0.3">
      <c r="C222" s="6"/>
      <c r="D222" s="6"/>
      <c r="E222" s="6"/>
      <c r="F222" s="6"/>
      <c r="G222" s="6"/>
      <c r="H222" s="6"/>
      <c r="I222" s="6"/>
      <c r="J222" s="6"/>
      <c r="K222" s="6"/>
      <c r="L222" s="6"/>
      <c r="M222" s="6"/>
      <c r="N222" s="6"/>
    </row>
    <row r="225" spans="3:15" x14ac:dyDescent="0.3">
      <c r="C225" s="6"/>
      <c r="D225" s="6"/>
      <c r="E225" s="6"/>
      <c r="F225" s="6"/>
      <c r="G225" s="6"/>
      <c r="H225" s="6"/>
      <c r="I225" s="6"/>
      <c r="J225" s="6"/>
      <c r="K225" s="6"/>
      <c r="L225" s="6"/>
      <c r="M225" s="6"/>
      <c r="N225" s="6"/>
      <c r="O225" s="6"/>
    </row>
    <row r="226" spans="3:15" x14ac:dyDescent="0.3">
      <c r="O226" s="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Data_checks</vt:lpstr>
      <vt:lpstr>Parameters</vt:lpstr>
      <vt:lpstr>Calc_original</vt:lpstr>
      <vt:lpstr>Calc_annual_pass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2024-09-07T13:54:17Z</dcterms:created>
  <dcterms:modified xsi:type="dcterms:W3CDTF">2025-02-12T10:45:34Z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47b247-e90e-43a3-9d7b-004f14ae6873_Enabled">
    <vt:lpwstr>true</vt:lpwstr>
  </property>
  <property fmtid="{D5CDD505-2E9C-101B-9397-08002B2CF9AE}" pid="3" name="MSIP_Label_d347b247-e90e-43a3-9d7b-004f14ae6873_SetDate">
    <vt:lpwstr>2024-09-07T13:54:27Z</vt:lpwstr>
  </property>
  <property fmtid="{D5CDD505-2E9C-101B-9397-08002B2CF9AE}" pid="4" name="MSIP_Label_d347b247-e90e-43a3-9d7b-004f14ae6873_Method">
    <vt:lpwstr>Standard</vt:lpwstr>
  </property>
  <property fmtid="{D5CDD505-2E9C-101B-9397-08002B2CF9AE}" pid="5" name="MSIP_Label_d347b247-e90e-43a3-9d7b-004f14ae6873_Name">
    <vt:lpwstr>d347b247-e90e-43a3-9d7b-004f14ae6873</vt:lpwstr>
  </property>
  <property fmtid="{D5CDD505-2E9C-101B-9397-08002B2CF9AE}" pid="6" name="MSIP_Label_d347b247-e90e-43a3-9d7b-004f14ae6873_SiteId">
    <vt:lpwstr>76e3921f-489b-4b7e-9547-9ea297add9b5</vt:lpwstr>
  </property>
  <property fmtid="{D5CDD505-2E9C-101B-9397-08002B2CF9AE}" pid="7" name="MSIP_Label_d347b247-e90e-43a3-9d7b-004f14ae6873_ActionId">
    <vt:lpwstr>a6574f0e-5ab9-4aa1-aa24-911980fae428</vt:lpwstr>
  </property>
  <property fmtid="{D5CDD505-2E9C-101B-9397-08002B2CF9AE}" pid="8" name="MSIP_Label_d347b247-e90e-43a3-9d7b-004f14ae6873_ContentBits">
    <vt:lpwstr>0</vt:lpwstr>
  </property>
  <property fmtid="{D5CDD505-2E9C-101B-9397-08002B2CF9AE}" pid="9" name="MSIP_Label_959a91ea-2073-4935-a795-8d5add99d027_Enabled">
    <vt:lpwstr>true</vt:lpwstr>
  </property>
  <property fmtid="{D5CDD505-2E9C-101B-9397-08002B2CF9AE}" pid="10" name="MSIP_Label_959a91ea-2073-4935-a795-8d5add99d027_SetDate">
    <vt:lpwstr>2024-11-13T14:15:48Z</vt:lpwstr>
  </property>
  <property fmtid="{D5CDD505-2E9C-101B-9397-08002B2CF9AE}" pid="11" name="MSIP_Label_959a91ea-2073-4935-a795-8d5add99d027_Method">
    <vt:lpwstr>Privileged</vt:lpwstr>
  </property>
  <property fmtid="{D5CDD505-2E9C-101B-9397-08002B2CF9AE}" pid="12" name="MSIP_Label_959a91ea-2073-4935-a795-8d5add99d027_Name">
    <vt:lpwstr>Non-Confidential</vt:lpwstr>
  </property>
  <property fmtid="{D5CDD505-2E9C-101B-9397-08002B2CF9AE}" pid="13" name="MSIP_Label_959a91ea-2073-4935-a795-8d5add99d027_SiteId">
    <vt:lpwstr>d246baab-cc00-4ed2-bc4e-f8a46cbc590d</vt:lpwstr>
  </property>
  <property fmtid="{D5CDD505-2E9C-101B-9397-08002B2CF9AE}" pid="14" name="MSIP_Label_959a91ea-2073-4935-a795-8d5add99d027_ActionId">
    <vt:lpwstr>1963d5f2-fb3e-47da-a3b7-b881de35e53b</vt:lpwstr>
  </property>
  <property fmtid="{D5CDD505-2E9C-101B-9397-08002B2CF9AE}" pid="15" name="MSIP_Label_959a91ea-2073-4935-a795-8d5add99d027_ContentBits">
    <vt:lpwstr>0</vt:lpwstr>
  </property>
</Properties>
</file>