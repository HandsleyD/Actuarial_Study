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/>
  <xr:revisionPtr revIDLastSave="6" documentId="13_ncr:1_{FB7AC5A9-F765-CC45-8E46-6DE00F5F6364}" xr6:coauthVersionLast="47" xr6:coauthVersionMax="47" xr10:uidLastSave="{F4533A93-9FEB-44AE-B5B0-EB7C01BE55B0}"/>
  <bookViews>
    <workbookView xWindow="-108" yWindow="-108" windowWidth="23256" windowHeight="12456" xr2:uid="{00000000-000D-0000-FFFF-FFFF00000000}"/>
  </bookViews>
  <sheets>
    <sheet name="Parameters" sheetId="1" r:id="rId1"/>
    <sheet name="Data" sheetId="2" r:id="rId2"/>
    <sheet name="Calculations-Base" sheetId="3" r:id="rId3"/>
    <sheet name="Total profit-Base" sheetId="4" r:id="rId4"/>
    <sheet name="Calculations-Weight" sheetId="5" r:id="rId5"/>
    <sheet name="Total profit-Weight" sheetId="6" r:id="rId6"/>
  </sheets>
  <definedNames>
    <definedName name="CarData">Parameters!$A$13:$I$20</definedName>
    <definedName name="Header">Parameters!$A$13:$I$13</definedName>
    <definedName name="HeaderCol">Parameters!$A$13:$A$20</definedName>
    <definedName name="TaxCO2">Parameters!$A$3:$D$8</definedName>
    <definedName name="TaxWeight">Parameters!$F$3:$H$8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C7" i="3" l="1"/>
  <c r="C23" i="1" l="1"/>
  <c r="Q25" i="5" l="1"/>
  <c r="P25" i="5"/>
  <c r="S25" i="5" s="1"/>
  <c r="K25" i="5"/>
  <c r="J25" i="5"/>
  <c r="E25" i="5"/>
  <c r="D25" i="5"/>
  <c r="Q24" i="5"/>
  <c r="P24" i="5"/>
  <c r="K24" i="5"/>
  <c r="M24" i="5" s="1"/>
  <c r="J24" i="5"/>
  <c r="E24" i="5"/>
  <c r="D24" i="5"/>
  <c r="C24" i="5"/>
  <c r="F24" i="5" s="1"/>
  <c r="Q23" i="5"/>
  <c r="S23" i="5" s="1"/>
  <c r="P23" i="5"/>
  <c r="K23" i="5"/>
  <c r="J23" i="5"/>
  <c r="E23" i="5"/>
  <c r="D23" i="5"/>
  <c r="Q22" i="5"/>
  <c r="S22" i="5" s="1"/>
  <c r="P22" i="5"/>
  <c r="K22" i="5"/>
  <c r="J22" i="5"/>
  <c r="M22" i="5" s="1"/>
  <c r="E22" i="5"/>
  <c r="G22" i="5" s="1"/>
  <c r="D22" i="5"/>
  <c r="C22" i="5"/>
  <c r="F22" i="5" s="1"/>
  <c r="Q21" i="5"/>
  <c r="S21" i="5" s="1"/>
  <c r="P21" i="5"/>
  <c r="N21" i="5"/>
  <c r="S27" i="5" s="1"/>
  <c r="S29" i="5" s="1"/>
  <c r="S30" i="5" s="1"/>
  <c r="K21" i="5"/>
  <c r="M21" i="5" s="1"/>
  <c r="J21" i="5"/>
  <c r="H21" i="5"/>
  <c r="M27" i="5" s="1"/>
  <c r="M29" i="5" s="1"/>
  <c r="M30" i="5" s="1"/>
  <c r="E21" i="5"/>
  <c r="D21" i="5"/>
  <c r="G21" i="5" s="1"/>
  <c r="C21" i="5"/>
  <c r="F21" i="5" s="1"/>
  <c r="B21" i="5"/>
  <c r="G27" i="5" s="1"/>
  <c r="G29" i="5" s="1"/>
  <c r="G30" i="5" s="1"/>
  <c r="Q11" i="5"/>
  <c r="P11" i="5"/>
  <c r="K11" i="5"/>
  <c r="J11" i="5"/>
  <c r="M11" i="5" s="1"/>
  <c r="I11" i="5"/>
  <c r="L11" i="5" s="1"/>
  <c r="E11" i="5"/>
  <c r="D11" i="5"/>
  <c r="Q10" i="5"/>
  <c r="P10" i="5"/>
  <c r="S10" i="5" s="1"/>
  <c r="K10" i="5"/>
  <c r="J10" i="5"/>
  <c r="I10" i="5"/>
  <c r="L10" i="5" s="1"/>
  <c r="E10" i="5"/>
  <c r="D10" i="5"/>
  <c r="G10" i="5" s="1"/>
  <c r="C10" i="5"/>
  <c r="F10" i="5" s="1"/>
  <c r="Q9" i="5"/>
  <c r="P9" i="5"/>
  <c r="K9" i="5"/>
  <c r="J9" i="5"/>
  <c r="I9" i="5"/>
  <c r="L9" i="5" s="1"/>
  <c r="E9" i="5"/>
  <c r="D9" i="5"/>
  <c r="G9" i="5" s="1"/>
  <c r="Q8" i="5"/>
  <c r="P8" i="5"/>
  <c r="K8" i="5"/>
  <c r="J8" i="5"/>
  <c r="E8" i="5"/>
  <c r="D8" i="5"/>
  <c r="G8" i="5" s="1"/>
  <c r="C8" i="5"/>
  <c r="F8" i="5" s="1"/>
  <c r="Q7" i="5"/>
  <c r="S7" i="5" s="1"/>
  <c r="P7" i="5"/>
  <c r="N7" i="5"/>
  <c r="S13" i="5" s="1"/>
  <c r="S15" i="5" s="1"/>
  <c r="S16" i="5" s="1"/>
  <c r="K7" i="5"/>
  <c r="J7" i="5"/>
  <c r="M7" i="5" s="1"/>
  <c r="H7" i="5"/>
  <c r="M13" i="5" s="1"/>
  <c r="M15" i="5" s="1"/>
  <c r="M16" i="5" s="1"/>
  <c r="E7" i="5"/>
  <c r="D7" i="5"/>
  <c r="G7" i="5" s="1"/>
  <c r="C7" i="5"/>
  <c r="F7" i="5" s="1"/>
  <c r="B7" i="5"/>
  <c r="G13" i="5" s="1"/>
  <c r="G15" i="5" s="1"/>
  <c r="G16" i="5" s="1"/>
  <c r="Q25" i="3"/>
  <c r="P25" i="3"/>
  <c r="O25" i="3"/>
  <c r="R25" i="3" s="1"/>
  <c r="K25" i="3"/>
  <c r="J25" i="3"/>
  <c r="I25" i="3"/>
  <c r="L25" i="3" s="1"/>
  <c r="E25" i="3"/>
  <c r="D25" i="3"/>
  <c r="C25" i="3"/>
  <c r="F25" i="3" s="1"/>
  <c r="Q24" i="3"/>
  <c r="P24" i="3"/>
  <c r="O24" i="3"/>
  <c r="R24" i="3" s="1"/>
  <c r="K24" i="3"/>
  <c r="J24" i="3"/>
  <c r="M24" i="3" s="1"/>
  <c r="I24" i="3"/>
  <c r="L24" i="3" s="1"/>
  <c r="E24" i="3"/>
  <c r="D24" i="3"/>
  <c r="C24" i="3"/>
  <c r="F24" i="3" s="1"/>
  <c r="Q23" i="3"/>
  <c r="P23" i="3"/>
  <c r="O23" i="3"/>
  <c r="R23" i="3" s="1"/>
  <c r="K23" i="3"/>
  <c r="J23" i="3"/>
  <c r="I23" i="3"/>
  <c r="L23" i="3" s="1"/>
  <c r="E23" i="3"/>
  <c r="D23" i="3"/>
  <c r="C23" i="3"/>
  <c r="F23" i="3" s="1"/>
  <c r="Q22" i="3"/>
  <c r="P22" i="3"/>
  <c r="O22" i="3"/>
  <c r="R22" i="3" s="1"/>
  <c r="K22" i="3"/>
  <c r="J22" i="3"/>
  <c r="I22" i="3"/>
  <c r="L22" i="3" s="1"/>
  <c r="E22" i="3"/>
  <c r="D22" i="3"/>
  <c r="C22" i="3"/>
  <c r="F22" i="3" s="1"/>
  <c r="Q21" i="3"/>
  <c r="P21" i="3"/>
  <c r="O21" i="3"/>
  <c r="N21" i="3"/>
  <c r="S27" i="3" s="1"/>
  <c r="K21" i="3"/>
  <c r="J21" i="3"/>
  <c r="I21" i="3"/>
  <c r="H21" i="3"/>
  <c r="M27" i="3" s="1"/>
  <c r="E21" i="3"/>
  <c r="D21" i="3"/>
  <c r="C21" i="3"/>
  <c r="B21" i="3"/>
  <c r="G27" i="3" s="1"/>
  <c r="Q11" i="3"/>
  <c r="P11" i="3"/>
  <c r="O11" i="3"/>
  <c r="R11" i="3" s="1"/>
  <c r="K11" i="3"/>
  <c r="J11" i="3"/>
  <c r="I11" i="3"/>
  <c r="L11" i="3" s="1"/>
  <c r="E11" i="3"/>
  <c r="D11" i="3"/>
  <c r="C11" i="3"/>
  <c r="F11" i="3" s="1"/>
  <c r="Q10" i="3"/>
  <c r="P10" i="3"/>
  <c r="O10" i="3"/>
  <c r="R10" i="3" s="1"/>
  <c r="K10" i="3"/>
  <c r="J10" i="3"/>
  <c r="I10" i="3"/>
  <c r="L10" i="3" s="1"/>
  <c r="E10" i="3"/>
  <c r="D10" i="3"/>
  <c r="C10" i="3"/>
  <c r="F10" i="3" s="1"/>
  <c r="Q9" i="3"/>
  <c r="P9" i="3"/>
  <c r="O9" i="3"/>
  <c r="R9" i="3" s="1"/>
  <c r="K9" i="3"/>
  <c r="J9" i="3"/>
  <c r="I9" i="3"/>
  <c r="L9" i="3" s="1"/>
  <c r="E9" i="3"/>
  <c r="D9" i="3"/>
  <c r="C9" i="3"/>
  <c r="F9" i="3" s="1"/>
  <c r="Q8" i="3"/>
  <c r="P8" i="3"/>
  <c r="O8" i="3"/>
  <c r="R8" i="3" s="1"/>
  <c r="K8" i="3"/>
  <c r="J8" i="3"/>
  <c r="I8" i="3"/>
  <c r="L8" i="3" s="1"/>
  <c r="E8" i="3"/>
  <c r="D8" i="3"/>
  <c r="C8" i="3"/>
  <c r="F8" i="3" s="1"/>
  <c r="Q7" i="3"/>
  <c r="P7" i="3"/>
  <c r="O7" i="3"/>
  <c r="N7" i="3"/>
  <c r="S13" i="3" s="1"/>
  <c r="K7" i="3"/>
  <c r="J7" i="3"/>
  <c r="H7" i="3"/>
  <c r="M13" i="3" s="1"/>
  <c r="E7" i="3"/>
  <c r="D7" i="3"/>
  <c r="B7" i="3"/>
  <c r="G13" i="3" s="1"/>
  <c r="M10" i="2"/>
  <c r="L10" i="2"/>
  <c r="K10" i="2"/>
  <c r="J10" i="2"/>
  <c r="I10" i="2"/>
  <c r="H10" i="2"/>
  <c r="G10" i="2"/>
  <c r="F10" i="2"/>
  <c r="E10" i="2"/>
  <c r="D10" i="2"/>
  <c r="C10" i="2"/>
  <c r="B10" i="2"/>
  <c r="N9" i="2"/>
  <c r="B9" i="6" s="1"/>
  <c r="F9" i="6" s="1"/>
  <c r="N8" i="2"/>
  <c r="B8" i="6" s="1"/>
  <c r="F8" i="6" s="1"/>
  <c r="N7" i="2"/>
  <c r="B7" i="6" s="1"/>
  <c r="F7" i="6" s="1"/>
  <c r="N6" i="2"/>
  <c r="B6" i="4" s="1"/>
  <c r="N5" i="2"/>
  <c r="B5" i="6" s="1"/>
  <c r="F5" i="6" s="1"/>
  <c r="N4" i="2"/>
  <c r="B4" i="6" s="1"/>
  <c r="C8" i="1"/>
  <c r="C7" i="1"/>
  <c r="I7" i="3" s="1"/>
  <c r="H6" i="1"/>
  <c r="C25" i="5" s="1"/>
  <c r="F25" i="5" s="1"/>
  <c r="C6" i="1"/>
  <c r="F4" i="6" l="1"/>
  <c r="G10" i="3"/>
  <c r="G24" i="3"/>
  <c r="M10" i="5"/>
  <c r="G25" i="5"/>
  <c r="S15" i="3"/>
  <c r="C6" i="4" s="1"/>
  <c r="S16" i="3"/>
  <c r="F6" i="4" s="1"/>
  <c r="D9" i="4"/>
  <c r="M9" i="5"/>
  <c r="N10" i="2"/>
  <c r="M10" i="3"/>
  <c r="C11" i="5"/>
  <c r="F11" i="5" s="1"/>
  <c r="G15" i="3"/>
  <c r="G16" i="3" s="1"/>
  <c r="G29" i="3"/>
  <c r="G30" i="3" s="1"/>
  <c r="B4" i="4"/>
  <c r="I7" i="5"/>
  <c r="I8" i="5"/>
  <c r="L8" i="5" s="1"/>
  <c r="S9" i="5"/>
  <c r="G11" i="5"/>
  <c r="G14" i="5" s="1"/>
  <c r="E4" i="6" s="1"/>
  <c r="G22" i="3"/>
  <c r="S24" i="3"/>
  <c r="B5" i="4"/>
  <c r="M8" i="5"/>
  <c r="B6" i="6"/>
  <c r="F6" i="6" s="1"/>
  <c r="R21" i="3"/>
  <c r="C23" i="5"/>
  <c r="F23" i="5" s="1"/>
  <c r="G21" i="3"/>
  <c r="B7" i="4"/>
  <c r="G23" i="5"/>
  <c r="H7" i="1"/>
  <c r="M16" i="3"/>
  <c r="B8" i="4"/>
  <c r="S8" i="5"/>
  <c r="B9" i="4"/>
  <c r="C9" i="5"/>
  <c r="F9" i="5" s="1"/>
  <c r="S11" i="5"/>
  <c r="C4" i="6"/>
  <c r="D4" i="6"/>
  <c r="L7" i="5"/>
  <c r="M23" i="5"/>
  <c r="M25" i="5"/>
  <c r="D5" i="6"/>
  <c r="S24" i="5"/>
  <c r="D6" i="6"/>
  <c r="G24" i="5"/>
  <c r="D8" i="6"/>
  <c r="G8" i="3"/>
  <c r="S11" i="3"/>
  <c r="G11" i="3"/>
  <c r="M8" i="3"/>
  <c r="M21" i="3"/>
  <c r="S25" i="3"/>
  <c r="S7" i="3"/>
  <c r="L7" i="3"/>
  <c r="S8" i="3"/>
  <c r="S9" i="3"/>
  <c r="M11" i="3"/>
  <c r="S22" i="3"/>
  <c r="M7" i="3"/>
  <c r="G9" i="3"/>
  <c r="G23" i="3"/>
  <c r="F21" i="3"/>
  <c r="G7" i="3"/>
  <c r="S10" i="3"/>
  <c r="M22" i="3"/>
  <c r="G25" i="3"/>
  <c r="F7" i="3"/>
  <c r="M23" i="3"/>
  <c r="M9" i="3"/>
  <c r="S21" i="3"/>
  <c r="M25" i="3"/>
  <c r="S23" i="3"/>
  <c r="D5" i="4"/>
  <c r="C5" i="4"/>
  <c r="D8" i="4"/>
  <c r="M29" i="3"/>
  <c r="C8" i="4" s="1"/>
  <c r="R7" i="3"/>
  <c r="L21" i="3"/>
  <c r="D6" i="4"/>
  <c r="C9" i="6"/>
  <c r="I23" i="5"/>
  <c r="L23" i="5" s="1"/>
  <c r="C6" i="6"/>
  <c r="D9" i="6"/>
  <c r="O10" i="5"/>
  <c r="R10" i="5" s="1"/>
  <c r="I21" i="5"/>
  <c r="L21" i="5" s="1"/>
  <c r="C7" i="6"/>
  <c r="D7" i="6"/>
  <c r="S29" i="3"/>
  <c r="C9" i="4" s="1"/>
  <c r="C5" i="6"/>
  <c r="O7" i="5"/>
  <c r="R7" i="5" s="1"/>
  <c r="O11" i="5"/>
  <c r="R11" i="5" s="1"/>
  <c r="C4" i="4"/>
  <c r="I22" i="5"/>
  <c r="L22" i="5" s="1"/>
  <c r="D4" i="4"/>
  <c r="C8" i="6"/>
  <c r="M14" i="5" l="1"/>
  <c r="E5" i="6" s="1"/>
  <c r="G28" i="5"/>
  <c r="E7" i="6" s="1"/>
  <c r="O8" i="5"/>
  <c r="R8" i="5" s="1"/>
  <c r="I24" i="5"/>
  <c r="L24" i="5" s="1"/>
  <c r="O9" i="5"/>
  <c r="R9" i="5" s="1"/>
  <c r="S30" i="3"/>
  <c r="F7" i="4"/>
  <c r="C7" i="4"/>
  <c r="S14" i="5"/>
  <c r="E6" i="6" s="1"/>
  <c r="F4" i="4"/>
  <c r="B11" i="4"/>
  <c r="B13" i="4" s="1"/>
  <c r="F9" i="4"/>
  <c r="D7" i="4"/>
  <c r="F5" i="4"/>
  <c r="G14" i="3"/>
  <c r="E4" i="4" s="1"/>
  <c r="F8" i="4"/>
  <c r="F11" i="6"/>
  <c r="I25" i="5"/>
  <c r="L25" i="5" s="1"/>
  <c r="H8" i="1"/>
  <c r="M30" i="3"/>
  <c r="B11" i="6"/>
  <c r="C11" i="6"/>
  <c r="D11" i="6"/>
  <c r="G28" i="3"/>
  <c r="E7" i="4" s="1"/>
  <c r="M14" i="3"/>
  <c r="E5" i="4" s="1"/>
  <c r="S14" i="3"/>
  <c r="E6" i="4" s="1"/>
  <c r="S28" i="3"/>
  <c r="E9" i="4" s="1"/>
  <c r="M28" i="3"/>
  <c r="E8" i="4" s="1"/>
  <c r="D11" i="4"/>
  <c r="C11" i="4"/>
  <c r="O25" i="5"/>
  <c r="R25" i="5" s="1"/>
  <c r="O21" i="5"/>
  <c r="R21" i="5" s="1"/>
  <c r="O24" i="5"/>
  <c r="R24" i="5" s="1"/>
  <c r="O23" i="5"/>
  <c r="R23" i="5" s="1"/>
  <c r="O22" i="5"/>
  <c r="R22" i="5" s="1"/>
  <c r="M28" i="5" l="1"/>
  <c r="E8" i="6" s="1"/>
  <c r="F11" i="4"/>
  <c r="B13" i="6"/>
  <c r="C13" i="6"/>
  <c r="D13" i="6"/>
  <c r="S28" i="5"/>
  <c r="E9" i="6" s="1"/>
  <c r="E11" i="4"/>
  <c r="F13" i="6"/>
  <c r="E11" i="6" l="1"/>
</calcChain>
</file>

<file path=xl/sharedStrings.xml><?xml version="1.0" encoding="utf-8"?>
<sst xmlns="http://schemas.openxmlformats.org/spreadsheetml/2006/main" count="199" uniqueCount="73">
  <si>
    <t>Parameters</t>
  </si>
  <si>
    <t>Alternative</t>
  </si>
  <si>
    <r>
      <t>Tax -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(g/km)</t>
    </r>
  </si>
  <si>
    <t>Year 2-5 ($)</t>
  </si>
  <si>
    <t>Tax - Weight (kg)</t>
  </si>
  <si>
    <t>Amount ($)</t>
  </si>
  <si>
    <t>from</t>
  </si>
  <si>
    <t>to</t>
  </si>
  <si>
    <t>Kilometers per year</t>
  </si>
  <si>
    <t>Car Specifications</t>
  </si>
  <si>
    <r>
      <t>CO</t>
    </r>
    <r>
      <rPr>
        <b/>
        <vertAlign val="subscript"/>
        <sz val="12"/>
        <color theme="1"/>
        <rFont val="Calibri"/>
        <family val="2"/>
        <scheme val="minor"/>
      </rPr>
      <t>2</t>
    </r>
  </si>
  <si>
    <t>Fuel</t>
  </si>
  <si>
    <t>Battery capacity</t>
  </si>
  <si>
    <t>Range</t>
  </si>
  <si>
    <t>Weight</t>
  </si>
  <si>
    <t>Price</t>
  </si>
  <si>
    <t>Profit margin</t>
  </si>
  <si>
    <t>Annual service cost</t>
  </si>
  <si>
    <t>emitted per km (g)</t>
  </si>
  <si>
    <t>Consumption (litres per 100km)</t>
  </si>
  <si>
    <t>(kWh)</t>
  </si>
  <si>
    <t>* (km)</t>
  </si>
  <si>
    <t>(kg)</t>
  </si>
  <si>
    <t>($)</t>
  </si>
  <si>
    <t>Small Petrol</t>
  </si>
  <si>
    <t>Medium Petrol</t>
  </si>
  <si>
    <t>Large Petrol</t>
  </si>
  <si>
    <t>Small Electric</t>
  </si>
  <si>
    <t>Medium Electric</t>
  </si>
  <si>
    <t>Large Electric</t>
  </si>
  <si>
    <t>* Distance travelled on full battery</t>
  </si>
  <si>
    <t>Base</t>
  </si>
  <si>
    <t>Alt</t>
  </si>
  <si>
    <t>Fuel cost per litre ($)</t>
  </si>
  <si>
    <t>Service cost from year</t>
  </si>
  <si>
    <t>Vehicle Sales for the last year - number of cars sold each month</t>
  </si>
  <si>
    <t>Model</t>
  </si>
  <si>
    <t xml:space="preserve">Jan </t>
  </si>
  <si>
    <t xml:space="preserve">Feb </t>
  </si>
  <si>
    <t xml:space="preserve">Mar </t>
  </si>
  <si>
    <t xml:space="preserve">Apr </t>
  </si>
  <si>
    <t xml:space="preserve">May </t>
  </si>
  <si>
    <t xml:space="preserve">Jun </t>
  </si>
  <si>
    <t xml:space="preserve">Jul </t>
  </si>
  <si>
    <t xml:space="preserve">Aug </t>
  </si>
  <si>
    <t xml:space="preserve">Sep </t>
  </si>
  <si>
    <t xml:space="preserve">Oct </t>
  </si>
  <si>
    <t xml:space="preserve">Nov </t>
  </si>
  <si>
    <t xml:space="preserve">Dec </t>
  </si>
  <si>
    <t xml:space="preserve">Total </t>
  </si>
  <si>
    <t>Total</t>
  </si>
  <si>
    <t>Base Scenario</t>
  </si>
  <si>
    <t>Calculates the total cost of ownership for all cars in the current range under the old tax regime.</t>
  </si>
  <si>
    <t>Year</t>
  </si>
  <si>
    <t>Tax</t>
  </si>
  <si>
    <t>PV start</t>
  </si>
  <si>
    <t>PV mid</t>
  </si>
  <si>
    <t>Price of Car</t>
  </si>
  <si>
    <t>PV Total cost of ownership</t>
  </si>
  <si>
    <t>Profit</t>
  </si>
  <si>
    <t>Electricity</t>
  </si>
  <si>
    <t>Profit calculations</t>
  </si>
  <si>
    <t>Sales</t>
  </si>
  <si>
    <t>Revenue</t>
  </si>
  <si>
    <t>Cost of Ownership</t>
  </si>
  <si>
    <t>Tax based on Weight</t>
  </si>
  <si>
    <t>Calculates the total cost of ownership for all cars in the current range under the new tax regime.</t>
  </si>
  <si>
    <t>Electricity cost per kWh ($)</t>
  </si>
  <si>
    <t>Discount rate</t>
  </si>
  <si>
    <t>Year of purchase ($)</t>
  </si>
  <si>
    <t>Check total sales:</t>
  </si>
  <si>
    <t xml:space="preserve">Check totals don't change: </t>
  </si>
  <si>
    <t>Manufacturing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</si>
</sst>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mmm\-yy_)"/>
  </numFmts>
  <fonts count="9" x14ac:knownFonts="1">
    <font>
      <sz val="12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7" tint="0.59999389629810485"/>
        <bgColor theme="7" tint="0.59999389629810485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7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11" xfId="0" applyFont="1" applyBorder="1"/>
    <xf numFmtId="0" fontId="2" fillId="0" borderId="12" xfId="0" applyFont="1" applyBorder="1"/>
    <xf numFmtId="165" fontId="7" fillId="0" borderId="14" xfId="1" applyNumberFormat="1" applyBorder="1"/>
    <xf numFmtId="0" fontId="0" fillId="0" borderId="15" xfId="0" applyBorder="1"/>
    <xf numFmtId="165" fontId="7" fillId="0" borderId="15" xfId="1" applyNumberFormat="1" applyBorder="1"/>
    <xf numFmtId="165" fontId="7" fillId="0" borderId="0" xfId="1" applyNumberFormat="1"/>
    <xf numFmtId="165" fontId="7" fillId="0" borderId="1" xfId="1" applyNumberFormat="1" applyBorder="1"/>
    <xf numFmtId="165" fontId="7" fillId="0" borderId="5" xfId="1" applyNumberFormat="1" applyBorder="1"/>
    <xf numFmtId="165" fontId="7" fillId="0" borderId="16" xfId="1" applyNumberFormat="1" applyBorder="1"/>
    <xf numFmtId="165" fontId="7" fillId="0" borderId="17" xfId="1" applyNumberFormat="1" applyBorder="1"/>
    <xf numFmtId="0" fontId="0" fillId="0" borderId="18" xfId="0" applyBorder="1"/>
    <xf numFmtId="165" fontId="7" fillId="0" borderId="18" xfId="1" applyNumberFormat="1" applyBorder="1"/>
    <xf numFmtId="165" fontId="7" fillId="0" borderId="19" xfId="1" applyNumberFormat="1" applyBorder="1"/>
    <xf numFmtId="165" fontId="7" fillId="0" borderId="20" xfId="1" applyNumberFormat="1" applyBorder="1"/>
    <xf numFmtId="165" fontId="7" fillId="0" borderId="7" xfId="1" applyNumberFormat="1" applyBorder="1"/>
    <xf numFmtId="0" fontId="0" fillId="0" borderId="8" xfId="0" applyBorder="1"/>
    <xf numFmtId="165" fontId="7" fillId="0" borderId="8" xfId="1" applyNumberFormat="1" applyBorder="1"/>
    <xf numFmtId="0" fontId="0" fillId="0" borderId="21" xfId="0" applyBorder="1"/>
    <xf numFmtId="165" fontId="7" fillId="0" borderId="22" xfId="1" applyNumberFormat="1" applyBorder="1"/>
    <xf numFmtId="0" fontId="2" fillId="0" borderId="16" xfId="0" applyFont="1" applyBorder="1"/>
    <xf numFmtId="0" fontId="2" fillId="0" borderId="23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24" xfId="0" applyFont="1" applyBorder="1"/>
    <xf numFmtId="0" fontId="2" fillId="0" borderId="2" xfId="0" applyFont="1" applyBorder="1" applyAlignment="1">
      <alignment wrapText="1"/>
    </xf>
    <xf numFmtId="0" fontId="2" fillId="0" borderId="22" xfId="0" applyFont="1" applyBorder="1"/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26" xfId="0" applyFont="1" applyBorder="1"/>
    <xf numFmtId="0" fontId="2" fillId="0" borderId="8" xfId="0" applyFont="1" applyBorder="1" applyAlignment="1">
      <alignment wrapText="1"/>
    </xf>
    <xf numFmtId="0" fontId="2" fillId="0" borderId="27" xfId="0" applyFont="1" applyBorder="1"/>
    <xf numFmtId="0" fontId="0" fillId="0" borderId="28" xfId="0" applyBorder="1"/>
    <xf numFmtId="0" fontId="0" fillId="0" borderId="29" xfId="0" applyBorder="1"/>
    <xf numFmtId="0" fontId="0" fillId="2" borderId="29" xfId="0" applyFill="1" applyBorder="1"/>
    <xf numFmtId="165" fontId="7" fillId="0" borderId="29" xfId="1" applyNumberFormat="1" applyBorder="1"/>
    <xf numFmtId="9" fontId="0" fillId="0" borderId="29" xfId="0" applyNumberFormat="1" applyBorder="1"/>
    <xf numFmtId="0" fontId="2" fillId="0" borderId="20" xfId="0" applyFont="1" applyBorder="1"/>
    <xf numFmtId="0" fontId="0" fillId="0" borderId="30" xfId="0" applyBorder="1"/>
    <xf numFmtId="0" fontId="0" fillId="0" borderId="31" xfId="0" applyBorder="1"/>
    <xf numFmtId="0" fontId="0" fillId="2" borderId="31" xfId="0" applyFill="1" applyBorder="1"/>
    <xf numFmtId="165" fontId="7" fillId="0" borderId="31" xfId="1" applyNumberFormat="1" applyBorder="1"/>
    <xf numFmtId="9" fontId="0" fillId="0" borderId="31" xfId="0" applyNumberFormat="1" applyBorder="1"/>
    <xf numFmtId="0" fontId="0" fillId="0" borderId="25" xfId="0" applyBorder="1"/>
    <xf numFmtId="0" fontId="0" fillId="2" borderId="26" xfId="0" applyFill="1" applyBorder="1"/>
    <xf numFmtId="0" fontId="0" fillId="0" borderId="26" xfId="0" applyBorder="1"/>
    <xf numFmtId="165" fontId="7" fillId="0" borderId="26" xfId="1" applyNumberFormat="1" applyBorder="1"/>
    <xf numFmtId="9" fontId="0" fillId="0" borderId="26" xfId="0" applyNumberFormat="1" applyBorder="1"/>
    <xf numFmtId="9" fontId="0" fillId="0" borderId="0" xfId="0" applyNumberFormat="1"/>
    <xf numFmtId="0" fontId="3" fillId="0" borderId="0" xfId="0" applyFont="1"/>
    <xf numFmtId="0" fontId="4" fillId="0" borderId="31" xfId="0" applyFont="1" applyBorder="1"/>
    <xf numFmtId="166" fontId="4" fillId="0" borderId="31" xfId="0" quotePrefix="1" applyNumberFormat="1" applyFont="1" applyBorder="1" applyAlignment="1">
      <alignment horizontal="center"/>
    </xf>
    <xf numFmtId="166" fontId="4" fillId="0" borderId="30" xfId="0" quotePrefix="1" applyNumberFormat="1" applyFont="1" applyBorder="1" applyAlignment="1">
      <alignment horizontal="center"/>
    </xf>
    <xf numFmtId="0" fontId="4" fillId="0" borderId="31" xfId="0" quotePrefix="1" applyFont="1" applyBorder="1" applyAlignment="1">
      <alignment horizontal="center"/>
    </xf>
    <xf numFmtId="0" fontId="5" fillId="0" borderId="31" xfId="0" applyFont="1" applyBorder="1"/>
    <xf numFmtId="3" fontId="5" fillId="0" borderId="30" xfId="0" applyNumberFormat="1" applyFont="1" applyBorder="1" applyAlignment="1">
      <alignment horizontal="center"/>
    </xf>
    <xf numFmtId="3" fontId="5" fillId="0" borderId="31" xfId="0" applyNumberFormat="1" applyFont="1" applyBorder="1" applyAlignment="1">
      <alignment horizontal="center"/>
    </xf>
    <xf numFmtId="3" fontId="4" fillId="0" borderId="31" xfId="0" applyNumberFormat="1" applyFont="1" applyBorder="1" applyAlignment="1">
      <alignment horizontal="center"/>
    </xf>
    <xf numFmtId="0" fontId="6" fillId="0" borderId="0" xfId="0" applyFont="1"/>
    <xf numFmtId="0" fontId="1" fillId="0" borderId="19" xfId="0" applyFont="1" applyBorder="1"/>
    <xf numFmtId="0" fontId="0" fillId="0" borderId="32" xfId="0" applyBorder="1"/>
    <xf numFmtId="0" fontId="1" fillId="0" borderId="32" xfId="0" applyFont="1" applyBorder="1"/>
    <xf numFmtId="0" fontId="1" fillId="0" borderId="30" xfId="0" applyFont="1" applyBorder="1"/>
    <xf numFmtId="0" fontId="2" fillId="0" borderId="31" xfId="0" applyFont="1" applyBorder="1"/>
    <xf numFmtId="0" fontId="2" fillId="0" borderId="31" xfId="0" applyFont="1" applyBorder="1" applyAlignment="1">
      <alignment wrapText="1"/>
    </xf>
    <xf numFmtId="165" fontId="7" fillId="3" borderId="31" xfId="1" applyNumberFormat="1" applyFill="1" applyBorder="1"/>
    <xf numFmtId="0" fontId="0" fillId="0" borderId="33" xfId="0" applyBorder="1"/>
    <xf numFmtId="0" fontId="0" fillId="0" borderId="12" xfId="0" applyBorder="1"/>
    <xf numFmtId="0" fontId="0" fillId="0" borderId="34" xfId="0" applyBorder="1"/>
    <xf numFmtId="0" fontId="0" fillId="0" borderId="35" xfId="0" applyBorder="1"/>
    <xf numFmtId="0" fontId="2" fillId="0" borderId="36" xfId="0" applyFont="1" applyBorder="1"/>
    <xf numFmtId="0" fontId="0" fillId="0" borderId="37" xfId="0" applyBorder="1"/>
    <xf numFmtId="165" fontId="7" fillId="0" borderId="38" xfId="1" applyNumberFormat="1" applyBorder="1"/>
    <xf numFmtId="0" fontId="2" fillId="0" borderId="36" xfId="0" applyFont="1" applyBorder="1" applyAlignment="1">
      <alignment wrapText="1"/>
    </xf>
    <xf numFmtId="165" fontId="0" fillId="0" borderId="38" xfId="0" applyNumberFormat="1" applyBorder="1"/>
    <xf numFmtId="0" fontId="0" fillId="0" borderId="39" xfId="0" applyBorder="1"/>
    <xf numFmtId="0" fontId="0" fillId="0" borderId="40" xfId="0" applyBorder="1"/>
    <xf numFmtId="165" fontId="0" fillId="0" borderId="28" xfId="0" applyNumberFormat="1" applyBorder="1"/>
    <xf numFmtId="165" fontId="2" fillId="0" borderId="0" xfId="0" applyNumberFormat="1" applyFont="1" applyAlignment="1">
      <alignment horizontal="right" wrapText="1"/>
    </xf>
    <xf numFmtId="165" fontId="0" fillId="0" borderId="0" xfId="0" applyNumberFormat="1"/>
    <xf numFmtId="0" fontId="2" fillId="0" borderId="29" xfId="0" applyFont="1" applyBorder="1" applyAlignment="1">
      <alignment wrapText="1"/>
    </xf>
    <xf numFmtId="164" fontId="7" fillId="0" borderId="0" xfId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/>
  </sheetViews>
  <sheetFormatPr defaultColWidth="11.19921875" defaultRowHeight="15.6" x14ac:dyDescent="0.3"/>
  <cols>
    <col min="1" max="1" width="23.8984375" customWidth="1"/>
    <col min="2" max="2" width="15.296875" customWidth="1"/>
    <col min="3" max="3" width="17" customWidth="1"/>
    <col min="5" max="6" width="15.19921875" bestFit="1" customWidth="1"/>
    <col min="8" max="8" width="11.796875" bestFit="1" customWidth="1"/>
    <col min="9" max="9" width="11" customWidth="1"/>
  </cols>
  <sheetData>
    <row r="1" spans="1:9" ht="18" x14ac:dyDescent="0.35">
      <c r="A1" s="1" t="s">
        <v>0</v>
      </c>
    </row>
    <row r="2" spans="1:9" x14ac:dyDescent="0.3">
      <c r="F2" s="2" t="s">
        <v>1</v>
      </c>
    </row>
    <row r="3" spans="1:9" ht="18" x14ac:dyDescent="0.4">
      <c r="A3" s="85" t="s">
        <v>2</v>
      </c>
      <c r="B3" s="86"/>
      <c r="C3" s="88" t="s">
        <v>69</v>
      </c>
      <c r="D3" s="90" t="s">
        <v>3</v>
      </c>
      <c r="E3" s="2"/>
      <c r="F3" s="85" t="s">
        <v>4</v>
      </c>
      <c r="G3" s="87"/>
      <c r="H3" s="92" t="s">
        <v>5</v>
      </c>
    </row>
    <row r="4" spans="1:9" x14ac:dyDescent="0.3">
      <c r="A4" s="3" t="s">
        <v>6</v>
      </c>
      <c r="B4" s="4" t="s">
        <v>7</v>
      </c>
      <c r="C4" s="89"/>
      <c r="D4" s="91"/>
      <c r="E4" s="2"/>
      <c r="F4" s="5" t="s">
        <v>6</v>
      </c>
      <c r="G4" s="6" t="s">
        <v>7</v>
      </c>
      <c r="H4" s="93"/>
    </row>
    <row r="5" spans="1:9" x14ac:dyDescent="0.3">
      <c r="A5" s="7">
        <v>0</v>
      </c>
      <c r="B5" s="8">
        <v>50</v>
      </c>
      <c r="C5" s="7">
        <v>0</v>
      </c>
      <c r="D5" s="9">
        <v>0</v>
      </c>
      <c r="E5" s="10"/>
      <c r="F5" s="11">
        <v>0</v>
      </c>
      <c r="G5" s="12">
        <v>1500</v>
      </c>
      <c r="H5" s="13">
        <v>150</v>
      </c>
    </row>
    <row r="6" spans="1:9" x14ac:dyDescent="0.3">
      <c r="A6" s="14">
        <v>50</v>
      </c>
      <c r="B6" s="15">
        <v>150</v>
      </c>
      <c r="C6" s="14">
        <f>2*D6</f>
        <v>300</v>
      </c>
      <c r="D6" s="16">
        <v>150</v>
      </c>
      <c r="E6" s="10"/>
      <c r="F6" s="14">
        <v>1500</v>
      </c>
      <c r="G6" s="17">
        <v>2500</v>
      </c>
      <c r="H6" s="18">
        <f>H5*2</f>
        <v>300</v>
      </c>
    </row>
    <row r="7" spans="1:9" x14ac:dyDescent="0.3">
      <c r="A7" s="14">
        <v>150</v>
      </c>
      <c r="B7" s="15">
        <v>200</v>
      </c>
      <c r="C7" s="14">
        <f>2*D7</f>
        <v>400</v>
      </c>
      <c r="D7" s="16">
        <v>200</v>
      </c>
      <c r="E7" s="10"/>
      <c r="F7" s="14">
        <v>2500</v>
      </c>
      <c r="G7" s="17">
        <v>3500</v>
      </c>
      <c r="H7" s="18">
        <f>H6*2</f>
        <v>600</v>
      </c>
    </row>
    <row r="8" spans="1:9" x14ac:dyDescent="0.3">
      <c r="A8" s="19">
        <v>200</v>
      </c>
      <c r="B8" s="20"/>
      <c r="C8" s="19">
        <f>2*D8</f>
        <v>600</v>
      </c>
      <c r="D8" s="21">
        <v>300</v>
      </c>
      <c r="E8" s="10"/>
      <c r="F8" s="19">
        <v>3500</v>
      </c>
      <c r="G8" s="22"/>
      <c r="H8" s="23">
        <f>H7*2</f>
        <v>1200</v>
      </c>
    </row>
    <row r="10" spans="1:9" x14ac:dyDescent="0.3">
      <c r="A10" s="2" t="s">
        <v>8</v>
      </c>
      <c r="B10" s="10">
        <v>15000</v>
      </c>
      <c r="C10" s="10"/>
    </row>
    <row r="12" spans="1:9" x14ac:dyDescent="0.3">
      <c r="A12" s="2" t="s">
        <v>9</v>
      </c>
    </row>
    <row r="13" spans="1:9" ht="32.4" x14ac:dyDescent="0.4">
      <c r="A13" s="24"/>
      <c r="B13" s="25" t="s">
        <v>10</v>
      </c>
      <c r="C13" s="26" t="s">
        <v>11</v>
      </c>
      <c r="D13" s="26" t="s">
        <v>12</v>
      </c>
      <c r="E13" s="26" t="s">
        <v>13</v>
      </c>
      <c r="F13" s="27" t="s">
        <v>14</v>
      </c>
      <c r="G13" s="27" t="s">
        <v>15</v>
      </c>
      <c r="H13" s="27" t="s">
        <v>16</v>
      </c>
      <c r="I13" s="28" t="s">
        <v>17</v>
      </c>
    </row>
    <row r="14" spans="1:9" ht="31.2" x14ac:dyDescent="0.3">
      <c r="A14" s="29"/>
      <c r="B14" s="30" t="s">
        <v>18</v>
      </c>
      <c r="C14" s="31" t="s">
        <v>19</v>
      </c>
      <c r="D14" s="31" t="s">
        <v>20</v>
      </c>
      <c r="E14" s="31" t="s">
        <v>21</v>
      </c>
      <c r="F14" s="32" t="s">
        <v>22</v>
      </c>
      <c r="G14" s="32" t="s">
        <v>23</v>
      </c>
      <c r="H14" s="32"/>
      <c r="I14" s="33" t="s">
        <v>23</v>
      </c>
    </row>
    <row r="15" spans="1:9" x14ac:dyDescent="0.3">
      <c r="A15" s="34" t="s">
        <v>24</v>
      </c>
      <c r="B15" s="35">
        <v>125</v>
      </c>
      <c r="C15" s="36">
        <v>6.4</v>
      </c>
      <c r="D15" s="37"/>
      <c r="E15" s="37"/>
      <c r="F15" s="38">
        <v>1900</v>
      </c>
      <c r="G15" s="38">
        <v>28450</v>
      </c>
      <c r="H15" s="39">
        <v>0.05</v>
      </c>
      <c r="I15" s="8">
        <v>250</v>
      </c>
    </row>
    <row r="16" spans="1:9" x14ac:dyDescent="0.3">
      <c r="A16" s="40" t="s">
        <v>25</v>
      </c>
      <c r="B16" s="41">
        <v>186</v>
      </c>
      <c r="C16" s="42">
        <v>7.7</v>
      </c>
      <c r="D16" s="43"/>
      <c r="E16" s="43"/>
      <c r="F16" s="44">
        <v>2070</v>
      </c>
      <c r="G16" s="44">
        <v>36866</v>
      </c>
      <c r="H16" s="45">
        <v>7.0000000000000007E-2</v>
      </c>
      <c r="I16" s="15">
        <v>300</v>
      </c>
    </row>
    <row r="17" spans="1:9" x14ac:dyDescent="0.3">
      <c r="A17" s="40" t="s">
        <v>26</v>
      </c>
      <c r="B17" s="41">
        <v>215</v>
      </c>
      <c r="C17" s="42">
        <v>8.1999999999999993</v>
      </c>
      <c r="D17" s="43"/>
      <c r="E17" s="43"/>
      <c r="F17" s="44">
        <v>2850</v>
      </c>
      <c r="G17" s="44">
        <v>65585</v>
      </c>
      <c r="H17" s="45">
        <v>0.11</v>
      </c>
      <c r="I17" s="15">
        <v>350</v>
      </c>
    </row>
    <row r="18" spans="1:9" x14ac:dyDescent="0.3">
      <c r="A18" s="40" t="s">
        <v>27</v>
      </c>
      <c r="B18" s="41">
        <v>0</v>
      </c>
      <c r="C18" s="43"/>
      <c r="D18" s="42">
        <v>62</v>
      </c>
      <c r="E18" s="42">
        <v>264</v>
      </c>
      <c r="F18" s="44">
        <v>2270</v>
      </c>
      <c r="G18" s="44">
        <v>39465</v>
      </c>
      <c r="H18" s="45">
        <v>0.11</v>
      </c>
      <c r="I18" s="15">
        <v>100</v>
      </c>
    </row>
    <row r="19" spans="1:9" x14ac:dyDescent="0.3">
      <c r="A19" s="40" t="s">
        <v>28</v>
      </c>
      <c r="B19" s="41">
        <v>0</v>
      </c>
      <c r="C19" s="43"/>
      <c r="D19" s="42">
        <v>82</v>
      </c>
      <c r="E19" s="42">
        <v>315</v>
      </c>
      <c r="F19" s="44">
        <v>2540</v>
      </c>
      <c r="G19" s="44">
        <v>47825</v>
      </c>
      <c r="H19" s="45">
        <v>0.14000000000000001</v>
      </c>
      <c r="I19" s="15">
        <v>150</v>
      </c>
    </row>
    <row r="20" spans="1:9" x14ac:dyDescent="0.3">
      <c r="A20" s="29" t="s">
        <v>29</v>
      </c>
      <c r="B20" s="46">
        <v>0</v>
      </c>
      <c r="C20" s="47"/>
      <c r="D20" s="48">
        <v>96</v>
      </c>
      <c r="E20" s="48">
        <v>309</v>
      </c>
      <c r="F20" s="49">
        <v>3730</v>
      </c>
      <c r="G20" s="49">
        <v>68834</v>
      </c>
      <c r="H20" s="50">
        <v>0.18</v>
      </c>
      <c r="I20" s="20">
        <v>180</v>
      </c>
    </row>
    <row r="21" spans="1:9" x14ac:dyDescent="0.3">
      <c r="E21" t="s">
        <v>30</v>
      </c>
    </row>
    <row r="22" spans="1:9" x14ac:dyDescent="0.3">
      <c r="B22" t="s">
        <v>31</v>
      </c>
      <c r="C22" t="s">
        <v>32</v>
      </c>
    </row>
    <row r="23" spans="1:9" x14ac:dyDescent="0.3">
      <c r="A23" t="s">
        <v>67</v>
      </c>
      <c r="B23">
        <v>0.28000000000000003</v>
      </c>
      <c r="C23">
        <f>B23-0.05</f>
        <v>0.23000000000000004</v>
      </c>
    </row>
    <row r="24" spans="1:9" x14ac:dyDescent="0.3">
      <c r="A24" t="s">
        <v>33</v>
      </c>
      <c r="B24">
        <v>1.5</v>
      </c>
    </row>
    <row r="26" spans="1:9" x14ac:dyDescent="0.3">
      <c r="A26" t="s">
        <v>68</v>
      </c>
      <c r="B26" s="51">
        <v>0.04</v>
      </c>
    </row>
    <row r="27" spans="1:9" x14ac:dyDescent="0.3">
      <c r="A27" t="s">
        <v>34</v>
      </c>
      <c r="B27">
        <v>4</v>
      </c>
    </row>
    <row r="28" spans="1:9" x14ac:dyDescent="0.3">
      <c r="C28" s="51"/>
    </row>
  </sheetData>
  <mergeCells count="5">
    <mergeCell ref="A3:B3"/>
    <mergeCell ref="F3:G3"/>
    <mergeCell ref="C3:C4"/>
    <mergeCell ref="D3:D4"/>
    <mergeCell ref="H3:H4"/>
  </mergeCells>
  <printOptions gridLines="1" gridLinesSet="0"/>
  <pageMargins left="0.7" right="0.7" top="0.75" bottom="0.7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/>
  </sheetViews>
  <sheetFormatPr defaultColWidth="11.19921875" defaultRowHeight="18" x14ac:dyDescent="0.35"/>
  <cols>
    <col min="1" max="1" width="17.796875" style="52" customWidth="1"/>
    <col min="2" max="16384" width="11.19921875" style="52"/>
  </cols>
  <sheetData>
    <row r="1" spans="1:14" x14ac:dyDescent="0.35">
      <c r="A1" s="1" t="s">
        <v>35</v>
      </c>
    </row>
    <row r="3" spans="1:14" x14ac:dyDescent="0.35">
      <c r="A3" s="53" t="s">
        <v>36</v>
      </c>
      <c r="B3" s="54" t="s">
        <v>37</v>
      </c>
      <c r="C3" s="54" t="s">
        <v>38</v>
      </c>
      <c r="D3" s="54" t="s">
        <v>39</v>
      </c>
      <c r="E3" s="54" t="s">
        <v>40</v>
      </c>
      <c r="F3" s="54" t="s">
        <v>41</v>
      </c>
      <c r="G3" s="54" t="s">
        <v>42</v>
      </c>
      <c r="H3" s="54" t="s">
        <v>43</v>
      </c>
      <c r="I3" s="54" t="s">
        <v>44</v>
      </c>
      <c r="J3" s="54" t="s">
        <v>45</v>
      </c>
      <c r="K3" s="54" t="s">
        <v>46</v>
      </c>
      <c r="L3" s="55" t="s">
        <v>47</v>
      </c>
      <c r="M3" s="54" t="s">
        <v>48</v>
      </c>
      <c r="N3" s="56" t="s">
        <v>49</v>
      </c>
    </row>
    <row r="4" spans="1:14" x14ac:dyDescent="0.35">
      <c r="A4" s="57" t="s">
        <v>24</v>
      </c>
      <c r="B4" s="58">
        <v>1296</v>
      </c>
      <c r="C4" s="59">
        <v>1111</v>
      </c>
      <c r="D4" s="59">
        <v>3190</v>
      </c>
      <c r="E4" s="59">
        <v>2198</v>
      </c>
      <c r="F4" s="59">
        <v>2335</v>
      </c>
      <c r="G4" s="59">
        <v>2804</v>
      </c>
      <c r="H4" s="59">
        <v>2076</v>
      </c>
      <c r="I4" s="59">
        <v>1947</v>
      </c>
      <c r="J4" s="59">
        <v>2423</v>
      </c>
      <c r="K4" s="59">
        <v>2228</v>
      </c>
      <c r="L4" s="58">
        <v>2380</v>
      </c>
      <c r="M4" s="59">
        <v>1579</v>
      </c>
      <c r="N4" s="59">
        <f t="shared" ref="N4:N9" si="0">SUM(B4:M4)</f>
        <v>25567</v>
      </c>
    </row>
    <row r="5" spans="1:14" x14ac:dyDescent="0.35">
      <c r="A5" s="57" t="s">
        <v>25</v>
      </c>
      <c r="B5" s="58">
        <v>154</v>
      </c>
      <c r="C5" s="59">
        <v>63</v>
      </c>
      <c r="D5" s="59">
        <v>333</v>
      </c>
      <c r="E5" s="59">
        <v>163</v>
      </c>
      <c r="F5" s="59">
        <v>122</v>
      </c>
      <c r="G5" s="59">
        <v>204</v>
      </c>
      <c r="H5" s="59">
        <v>156</v>
      </c>
      <c r="I5" s="59">
        <v>46</v>
      </c>
      <c r="J5" s="59">
        <v>197</v>
      </c>
      <c r="K5" s="59">
        <v>102</v>
      </c>
      <c r="L5" s="58">
        <v>217</v>
      </c>
      <c r="M5" s="59">
        <v>136</v>
      </c>
      <c r="N5" s="59">
        <f t="shared" si="0"/>
        <v>1893</v>
      </c>
    </row>
    <row r="6" spans="1:14" x14ac:dyDescent="0.35">
      <c r="A6" s="57" t="s">
        <v>26</v>
      </c>
      <c r="B6" s="58">
        <v>163</v>
      </c>
      <c r="C6" s="59">
        <v>145</v>
      </c>
      <c r="D6" s="59">
        <v>621</v>
      </c>
      <c r="E6" s="59">
        <v>225</v>
      </c>
      <c r="F6" s="59">
        <v>177</v>
      </c>
      <c r="G6" s="59">
        <v>72</v>
      </c>
      <c r="H6" s="59">
        <v>53</v>
      </c>
      <c r="I6" s="59">
        <v>68</v>
      </c>
      <c r="J6" s="59">
        <v>162</v>
      </c>
      <c r="K6" s="59">
        <v>47</v>
      </c>
      <c r="L6" s="58">
        <v>31</v>
      </c>
      <c r="M6" s="59">
        <v>72</v>
      </c>
      <c r="N6" s="59">
        <f t="shared" si="0"/>
        <v>1836</v>
      </c>
    </row>
    <row r="7" spans="1:14" x14ac:dyDescent="0.35">
      <c r="A7" s="57" t="s">
        <v>27</v>
      </c>
      <c r="B7" s="59">
        <v>719</v>
      </c>
      <c r="C7" s="59">
        <v>632</v>
      </c>
      <c r="D7" s="59">
        <v>1234</v>
      </c>
      <c r="E7" s="59">
        <v>890</v>
      </c>
      <c r="F7" s="59">
        <v>791</v>
      </c>
      <c r="G7" s="59">
        <v>733</v>
      </c>
      <c r="H7" s="59">
        <v>752</v>
      </c>
      <c r="I7" s="59">
        <v>636</v>
      </c>
      <c r="J7" s="59">
        <v>880</v>
      </c>
      <c r="K7" s="59">
        <v>1109</v>
      </c>
      <c r="L7" s="59">
        <v>1338</v>
      </c>
      <c r="M7" s="59">
        <v>1432</v>
      </c>
      <c r="N7" s="59">
        <f t="shared" si="0"/>
        <v>11146</v>
      </c>
    </row>
    <row r="8" spans="1:14" x14ac:dyDescent="0.35">
      <c r="A8" s="57" t="s">
        <v>28</v>
      </c>
      <c r="B8" s="58">
        <v>379</v>
      </c>
      <c r="C8" s="59">
        <v>252</v>
      </c>
      <c r="D8" s="59">
        <v>706</v>
      </c>
      <c r="E8" s="59">
        <v>618</v>
      </c>
      <c r="F8" s="59">
        <v>821</v>
      </c>
      <c r="G8" s="59">
        <v>261</v>
      </c>
      <c r="H8" s="59">
        <v>205</v>
      </c>
      <c r="I8" s="59">
        <v>254</v>
      </c>
      <c r="J8" s="59">
        <v>637</v>
      </c>
      <c r="K8" s="59">
        <v>749</v>
      </c>
      <c r="L8" s="58">
        <v>622</v>
      </c>
      <c r="M8" s="59">
        <v>787</v>
      </c>
      <c r="N8" s="59">
        <f t="shared" si="0"/>
        <v>6291</v>
      </c>
    </row>
    <row r="9" spans="1:14" x14ac:dyDescent="0.35">
      <c r="A9" s="57" t="s">
        <v>29</v>
      </c>
      <c r="B9" s="58">
        <v>215</v>
      </c>
      <c r="C9" s="59">
        <v>82</v>
      </c>
      <c r="D9" s="59">
        <v>355</v>
      </c>
      <c r="E9" s="59">
        <v>178</v>
      </c>
      <c r="F9" s="59">
        <v>203</v>
      </c>
      <c r="G9" s="59">
        <v>149</v>
      </c>
      <c r="H9" s="59">
        <v>74</v>
      </c>
      <c r="I9" s="59">
        <v>139</v>
      </c>
      <c r="J9" s="59">
        <v>479</v>
      </c>
      <c r="K9" s="59">
        <v>510</v>
      </c>
      <c r="L9" s="58">
        <v>355</v>
      </c>
      <c r="M9" s="59">
        <v>1109</v>
      </c>
      <c r="N9" s="59">
        <f t="shared" si="0"/>
        <v>3848</v>
      </c>
    </row>
    <row r="10" spans="1:14" x14ac:dyDescent="0.35">
      <c r="A10" s="53" t="s">
        <v>50</v>
      </c>
      <c r="B10" s="60">
        <f t="shared" ref="B10:N10" si="1">SUM(B4:B9)</f>
        <v>2926</v>
      </c>
      <c r="C10" s="60">
        <f t="shared" si="1"/>
        <v>2285</v>
      </c>
      <c r="D10" s="60">
        <f t="shared" si="1"/>
        <v>6439</v>
      </c>
      <c r="E10" s="60">
        <f t="shared" si="1"/>
        <v>4272</v>
      </c>
      <c r="F10" s="60">
        <f t="shared" si="1"/>
        <v>4449</v>
      </c>
      <c r="G10" s="60">
        <f t="shared" si="1"/>
        <v>4223</v>
      </c>
      <c r="H10" s="60">
        <f t="shared" si="1"/>
        <v>3316</v>
      </c>
      <c r="I10" s="60">
        <f t="shared" si="1"/>
        <v>3090</v>
      </c>
      <c r="J10" s="60">
        <f t="shared" si="1"/>
        <v>4778</v>
      </c>
      <c r="K10" s="60">
        <f t="shared" si="1"/>
        <v>4745</v>
      </c>
      <c r="L10" s="60">
        <f t="shared" si="1"/>
        <v>4943</v>
      </c>
      <c r="M10" s="60">
        <f t="shared" si="1"/>
        <v>5115</v>
      </c>
      <c r="N10" s="60">
        <f t="shared" si="1"/>
        <v>50581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0"/>
  <sheetViews>
    <sheetView workbookViewId="0"/>
  </sheetViews>
  <sheetFormatPr defaultColWidth="11.19921875" defaultRowHeight="15.6" x14ac:dyDescent="0.3"/>
  <cols>
    <col min="1" max="1" width="15.69921875" customWidth="1"/>
    <col min="6" max="6" width="11.296875" customWidth="1"/>
  </cols>
  <sheetData>
    <row r="1" spans="1:19" ht="21" x14ac:dyDescent="0.4">
      <c r="A1" s="61" t="s">
        <v>51</v>
      </c>
    </row>
    <row r="2" spans="1:19" x14ac:dyDescent="0.3">
      <c r="A2" t="s">
        <v>52</v>
      </c>
    </row>
    <row r="5" spans="1:19" ht="18" x14ac:dyDescent="0.35">
      <c r="B5" s="62" t="s">
        <v>24</v>
      </c>
      <c r="C5" s="63"/>
      <c r="D5" s="63"/>
      <c r="E5" s="63"/>
      <c r="F5" s="63"/>
      <c r="G5" s="41"/>
      <c r="H5" s="62" t="s">
        <v>25</v>
      </c>
      <c r="I5" s="64"/>
      <c r="J5" s="64"/>
      <c r="K5" s="64"/>
      <c r="L5" s="64"/>
      <c r="M5" s="65"/>
      <c r="N5" s="62" t="s">
        <v>26</v>
      </c>
      <c r="O5" s="63"/>
      <c r="P5" s="63"/>
      <c r="Q5" s="63"/>
      <c r="R5" s="63"/>
      <c r="S5" s="41"/>
    </row>
    <row r="6" spans="1:19" ht="31.2" x14ac:dyDescent="0.3">
      <c r="A6" s="66" t="s">
        <v>53</v>
      </c>
      <c r="B6" s="66" t="s">
        <v>15</v>
      </c>
      <c r="C6" s="66" t="s">
        <v>54</v>
      </c>
      <c r="D6" s="67" t="s">
        <v>17</v>
      </c>
      <c r="E6" s="66" t="s">
        <v>11</v>
      </c>
      <c r="F6" s="66" t="s">
        <v>55</v>
      </c>
      <c r="G6" s="66" t="s">
        <v>56</v>
      </c>
      <c r="H6" s="66" t="s">
        <v>15</v>
      </c>
      <c r="I6" s="66" t="s">
        <v>54</v>
      </c>
      <c r="J6" s="67" t="s">
        <v>17</v>
      </c>
      <c r="K6" s="66" t="s">
        <v>11</v>
      </c>
      <c r="L6" s="66" t="s">
        <v>55</v>
      </c>
      <c r="M6" s="66" t="s">
        <v>56</v>
      </c>
      <c r="N6" s="66" t="s">
        <v>15</v>
      </c>
      <c r="O6" s="66" t="s">
        <v>54</v>
      </c>
      <c r="P6" s="67" t="s">
        <v>17</v>
      </c>
      <c r="Q6" s="66" t="s">
        <v>11</v>
      </c>
      <c r="R6" s="66" t="s">
        <v>55</v>
      </c>
      <c r="S6" s="66" t="s">
        <v>56</v>
      </c>
    </row>
    <row r="7" spans="1:19" x14ac:dyDescent="0.3">
      <c r="A7" s="42">
        <v>1</v>
      </c>
      <c r="B7" s="68">
        <f>INDEX(CarData,MATCH($B$5,HeaderCol,0),MATCH(B$6,Header,0))</f>
        <v>28450</v>
      </c>
      <c r="C7" s="44">
        <f>VLOOKUP(INDEX(CarData,MATCH($B$5,HeaderCol,0),MATCH("CO2",Header,0)),TaxCO2,MIN($A7,2)+2,TRUE)</f>
        <v>300</v>
      </c>
      <c r="D7" s="44">
        <f>IF($A7&gt;=Parameters!$B$27,INDEX(CarData,MATCH($B$5,HeaderCol,0),MATCH(D$6,Header,0)),0)</f>
        <v>0</v>
      </c>
      <c r="E7" s="44">
        <f>Parameters!$B$10*INDEX(CarData,MATCH($B$5,HeaderCol,0),MATCH("Fuel",Header,0))/100*Parameters!$B$24</f>
        <v>1440</v>
      </c>
      <c r="F7" s="44">
        <f>(B7+C7)*(1+Parameters!$B$26)^-($A7-1)</f>
        <v>28750</v>
      </c>
      <c r="G7" s="44">
        <f>(D7+E7)*(1+Parameters!$B$26)^-($A7-0.5)</f>
        <v>1412.036172994925</v>
      </c>
      <c r="H7" s="68">
        <f>INDEX(CarData,MATCH($H$5,HeaderCol,0),MATCH(H$6,Header,0))</f>
        <v>36866</v>
      </c>
      <c r="I7" s="44">
        <f>VLOOKUP(INDEX(CarData,MATCH($H$5,HeaderCol,0),MATCH("CO2",Header,0)),TaxCO2,MIN($A7,2)+2,TRUE)</f>
        <v>400</v>
      </c>
      <c r="J7" s="44">
        <f>IF($A7&gt;=Parameters!$B$27,INDEX(CarData,MATCH($H$5,HeaderCol,0),MATCH(J$6,Header,0)),0)</f>
        <v>0</v>
      </c>
      <c r="K7" s="44">
        <f>Parameters!$B$10*INDEX(CarData,MATCH($H$5,HeaderCol,0),MATCH("Fuel",Header,0))/100*Parameters!$B$24</f>
        <v>1732.5</v>
      </c>
      <c r="L7" s="44">
        <f>(H7+I7)*(1+Parameters!$B$26)^-($A7-1)</f>
        <v>37266</v>
      </c>
      <c r="M7" s="44">
        <f>(J7+K7)*(1+Parameters!$B$26)^-($A7-0.5)</f>
        <v>1698.8560206345192</v>
      </c>
      <c r="N7" s="68">
        <f>INDEX(CarData,MATCH($N$5,HeaderCol,0),MATCH(N$6,Header,0))</f>
        <v>65585</v>
      </c>
      <c r="O7" s="44">
        <f>VLOOKUP(INDEX(CarData,MATCH($N$5,HeaderCol,0),MATCH("CO2",Header,0)),TaxCO2,MIN($A7,2)+2,TRUE)</f>
        <v>600</v>
      </c>
      <c r="P7" s="44">
        <f>IF($A7&gt;=Parameters!$B$27,INDEX(CarData,MATCH($N$5,HeaderCol,0),MATCH(P$6,Header,0)),0)</f>
        <v>0</v>
      </c>
      <c r="Q7" s="44">
        <f>Parameters!$B$10*INDEX(CarData,MATCH($N$5,HeaderCol,0),MATCH("Fuel",Header,0))/100*Parameters!$B$24</f>
        <v>1844.9999999999995</v>
      </c>
      <c r="R7" s="44">
        <f>(N7+O7)*(1+Parameters!$B$26)^-($A7-1)</f>
        <v>66185</v>
      </c>
      <c r="S7" s="44">
        <f>(P7+Q7)*(1+Parameters!$B$26)^-($A7-0.5)</f>
        <v>1809.1713466497472</v>
      </c>
    </row>
    <row r="8" spans="1:19" x14ac:dyDescent="0.3">
      <c r="A8" s="42">
        <v>2</v>
      </c>
      <c r="B8" s="44"/>
      <c r="C8" s="44">
        <f>VLOOKUP(INDEX(CarData,MATCH($B$5,HeaderCol,0),MATCH("CO2",Header,0)),TaxCO2,MIN($A8,2)+2,TRUE)</f>
        <v>150</v>
      </c>
      <c r="D8" s="44">
        <f>IF($A8&gt;=Parameters!$B$27,INDEX(CarData,MATCH($B$5,HeaderCol,0),MATCH(D$6,Header,0)),0)</f>
        <v>0</v>
      </c>
      <c r="E8" s="44">
        <f>Parameters!$B$10*INDEX(CarData,MATCH($B$5,HeaderCol,0),MATCH("Fuel",Header,0))/100*Parameters!$B$24</f>
        <v>1440</v>
      </c>
      <c r="F8" s="44">
        <f>(B8+C8)*(1+Parameters!$B$26)^-($A8-1)</f>
        <v>144.23076923076923</v>
      </c>
      <c r="G8" s="44">
        <f>(D8+E8)*(1+Parameters!$B$26)^-($A8-0.5)</f>
        <v>1357.727089418197</v>
      </c>
      <c r="H8" s="44"/>
      <c r="I8" s="44">
        <f>VLOOKUP(INDEX(CarData,MATCH($H$5,HeaderCol,0),MATCH("CO2",Header,0)),TaxCO2,MIN($A8,2)+2,TRUE)</f>
        <v>200</v>
      </c>
      <c r="J8" s="44">
        <f>IF($A8&gt;=Parameters!$B$27,INDEX(CarData,MATCH($H$5,HeaderCol,0),MATCH(J$6,Header,0)),0)</f>
        <v>0</v>
      </c>
      <c r="K8" s="44">
        <f>Parameters!$B$10*INDEX(CarData,MATCH($H$5,HeaderCol,0),MATCH("Fuel",Header,0))/100*Parameters!$B$24</f>
        <v>1732.5</v>
      </c>
      <c r="L8" s="44">
        <f>(H8+I8)*(1+Parameters!$B$26)^-($A8-1)</f>
        <v>192.30769230769229</v>
      </c>
      <c r="M8" s="44">
        <f>(J8+K8)*(1+Parameters!$B$26)^-($A8-0.5)</f>
        <v>1633.5154044562682</v>
      </c>
      <c r="N8" s="44"/>
      <c r="O8" s="44">
        <f>VLOOKUP(INDEX(CarData,MATCH($N$5,HeaderCol,0),MATCH("CO2",Header,0)),TaxCO2,MIN($A8,2)+2,TRUE)</f>
        <v>300</v>
      </c>
      <c r="P8" s="44">
        <f>IF($A8&gt;=Parameters!$B$27,INDEX(CarData,MATCH($N$5,HeaderCol,0),MATCH(P$6,Header,0)),0)</f>
        <v>0</v>
      </c>
      <c r="Q8" s="44">
        <f>Parameters!$B$10*INDEX(CarData,MATCH($N$5,HeaderCol,0),MATCH("Fuel",Header,0))/100*Parameters!$B$24</f>
        <v>1844.9999999999995</v>
      </c>
      <c r="R8" s="44">
        <f>(N8+O8)*(1+Parameters!$B$26)^-($A8-1)</f>
        <v>288.46153846153845</v>
      </c>
      <c r="S8" s="44">
        <f>(P8+Q8)*(1+Parameters!$B$26)^-($A8-0.5)</f>
        <v>1739.5878333170645</v>
      </c>
    </row>
    <row r="9" spans="1:19" x14ac:dyDescent="0.3">
      <c r="A9" s="42">
        <v>3</v>
      </c>
      <c r="B9" s="44"/>
      <c r="C9" s="44">
        <f>VLOOKUP(INDEX(CarData,MATCH($B$5,HeaderCol,0),MATCH("CO2",Header,0)),TaxCO2,MIN($A9,2)+2,TRUE)</f>
        <v>150</v>
      </c>
      <c r="D9" s="44">
        <f>IF($A9&gt;=Parameters!$B$27,INDEX(CarData,MATCH($B$5,HeaderCol,0),MATCH(D$6,Header,0)),0)</f>
        <v>0</v>
      </c>
      <c r="E9" s="44">
        <f>Parameters!$B$10*INDEX(CarData,MATCH($B$5,HeaderCol,0),MATCH("Fuel",Header,0))/100*Parameters!$B$24</f>
        <v>1440</v>
      </c>
      <c r="F9" s="44">
        <f>(B9+C9)*(1+Parameters!$B$26)^-($A9-1)</f>
        <v>138.68343195266272</v>
      </c>
      <c r="G9" s="44">
        <f>(D9+E9)*(1+Parameters!$B$26)^-($A9-0.5)</f>
        <v>1305.5068167482661</v>
      </c>
      <c r="H9" s="44"/>
      <c r="I9" s="44">
        <f>VLOOKUP(INDEX(CarData,MATCH($H$5,HeaderCol,0),MATCH("CO2",Header,0)),TaxCO2,MIN($A9,2)+2,TRUE)</f>
        <v>200</v>
      </c>
      <c r="J9" s="44">
        <f>IF($A9&gt;=Parameters!$B$27,INDEX(CarData,MATCH($H$5,HeaderCol,0),MATCH(J$6,Header,0)),0)</f>
        <v>0</v>
      </c>
      <c r="K9" s="44">
        <f>Parameters!$B$10*INDEX(CarData,MATCH($H$5,HeaderCol,0),MATCH("Fuel",Header,0))/100*Parameters!$B$24</f>
        <v>1732.5</v>
      </c>
      <c r="L9" s="44">
        <f>(H9+I9)*(1+Parameters!$B$26)^-($A9-1)</f>
        <v>184.91124260355028</v>
      </c>
      <c r="M9" s="44">
        <f>(J9+K9)*(1+Parameters!$B$26)^-($A9-0.5)</f>
        <v>1570.6878889002578</v>
      </c>
      <c r="N9" s="44"/>
      <c r="O9" s="44">
        <f>VLOOKUP(INDEX(CarData,MATCH($N$5,HeaderCol,0),MATCH("CO2",Header,0)),TaxCO2,MIN($A9,2)+2,TRUE)</f>
        <v>300</v>
      </c>
      <c r="P9" s="44">
        <f>IF($A9&gt;=Parameters!$B$27,INDEX(CarData,MATCH($N$5,HeaderCol,0),MATCH(P$6,Header,0)),0)</f>
        <v>0</v>
      </c>
      <c r="Q9" s="44">
        <f>Parameters!$B$10*INDEX(CarData,MATCH($N$5,HeaderCol,0),MATCH("Fuel",Header,0))/100*Parameters!$B$24</f>
        <v>1844.9999999999995</v>
      </c>
      <c r="R9" s="44">
        <f>(N9+O9)*(1+Parameters!$B$26)^-($A9-1)</f>
        <v>277.36686390532543</v>
      </c>
      <c r="S9" s="44">
        <f>(P9+Q9)*(1+Parameters!$B$26)^-($A9-0.5)</f>
        <v>1672.6806089587158</v>
      </c>
    </row>
    <row r="10" spans="1:19" x14ac:dyDescent="0.3">
      <c r="A10" s="42">
        <v>4</v>
      </c>
      <c r="B10" s="44"/>
      <c r="C10" s="44">
        <f>VLOOKUP(INDEX(CarData,MATCH($B$5,HeaderCol,0),MATCH("CO2",Header,0)),TaxCO2,MIN($A10,2)+2,TRUE)</f>
        <v>150</v>
      </c>
      <c r="D10" s="44">
        <f>IF($A10&gt;=Parameters!$B$27,INDEX(CarData,MATCH($B$5,HeaderCol,0),MATCH(D$6,Header,0)),0)</f>
        <v>250</v>
      </c>
      <c r="E10" s="44">
        <f>Parameters!$B$10*INDEX(CarData,MATCH($B$5,HeaderCol,0),MATCH("Fuel",Header,0))/100*Parameters!$B$24</f>
        <v>1440</v>
      </c>
      <c r="F10" s="44">
        <f>(B10+C10)*(1+Parameters!$B$26)^-($A10-1)</f>
        <v>133.34945380063724</v>
      </c>
      <c r="G10" s="44">
        <f>(D10+E10)*(1+Parameters!$B$26)^-($A10-0.5)</f>
        <v>1473.2281786221754</v>
      </c>
      <c r="H10" s="44"/>
      <c r="I10" s="44">
        <f>VLOOKUP(INDEX(CarData,MATCH($H$5,HeaderCol,0),MATCH("CO2",Header,0)),TaxCO2,MIN($A10,2)+2,TRUE)</f>
        <v>200</v>
      </c>
      <c r="J10" s="44">
        <f>IF($A10&gt;=Parameters!$B$27,INDEX(CarData,MATCH($H$5,HeaderCol,0),MATCH(J$6,Header,0)),0)</f>
        <v>300</v>
      </c>
      <c r="K10" s="44">
        <f>Parameters!$B$10*INDEX(CarData,MATCH($H$5,HeaderCol,0),MATCH("Fuel",Header,0))/100*Parameters!$B$24</f>
        <v>1732.5</v>
      </c>
      <c r="L10" s="44">
        <f>(H10+I10)*(1+Parameters!$B$26)^-($A10-1)</f>
        <v>177.79927173418298</v>
      </c>
      <c r="M10" s="44">
        <f>(J10+K10)*(1+Parameters!$B$26)^-($A10-0.5)</f>
        <v>1771.7966112719359</v>
      </c>
      <c r="N10" s="44"/>
      <c r="O10" s="44">
        <f>VLOOKUP(INDEX(CarData,MATCH($N$5,HeaderCol,0),MATCH("CO2",Header,0)),TaxCO2,MIN($A10,2)+2,TRUE)</f>
        <v>300</v>
      </c>
      <c r="P10" s="44">
        <f>IF($A10&gt;=Parameters!$B$27,INDEX(CarData,MATCH($N$5,HeaderCol,0),MATCH(P$6,Header,0)),0)</f>
        <v>350</v>
      </c>
      <c r="Q10" s="44">
        <f>Parameters!$B$10*INDEX(CarData,MATCH($N$5,HeaderCol,0),MATCH("Fuel",Header,0))/100*Parameters!$B$24</f>
        <v>1844.9999999999995</v>
      </c>
      <c r="R10" s="44">
        <f>(N10+O10)*(1+Parameters!$B$26)^-($A10-1)</f>
        <v>266.69890760127447</v>
      </c>
      <c r="S10" s="44">
        <f>(P10+Q10)*(1+Parameters!$B$26)^-($A10-0.5)</f>
        <v>1913.4531669086832</v>
      </c>
    </row>
    <row r="11" spans="1:19" x14ac:dyDescent="0.3">
      <c r="A11" s="42">
        <v>5</v>
      </c>
      <c r="B11" s="44"/>
      <c r="C11" s="44">
        <f>VLOOKUP(INDEX(CarData,MATCH($B$5,HeaderCol,0),MATCH("CO2",Header,0)),TaxCO2,MIN($A11,2)+2,TRUE)</f>
        <v>150</v>
      </c>
      <c r="D11" s="44">
        <f>IF($A11&gt;=Parameters!$B$27,INDEX(CarData,MATCH($B$5,HeaderCol,0),MATCH(D$6,Header,0)),0)</f>
        <v>250</v>
      </c>
      <c r="E11" s="44">
        <f>Parameters!$B$10*INDEX(CarData,MATCH($B$5,HeaderCol,0),MATCH("Fuel",Header,0))/100*Parameters!$B$24</f>
        <v>1440</v>
      </c>
      <c r="F11" s="44">
        <f>(B11+C11)*(1+Parameters!$B$26)^-($A11-1)</f>
        <v>128.22062865445886</v>
      </c>
      <c r="G11" s="44">
        <f>(D11+E11)*(1+Parameters!$B$26)^-($A11-0.5)</f>
        <v>1416.5655563674763</v>
      </c>
      <c r="H11" s="44"/>
      <c r="I11" s="44">
        <f>VLOOKUP(INDEX(CarData,MATCH($H$5,HeaderCol,0),MATCH("CO2",Header,0)),TaxCO2,MIN($A11,2)+2,TRUE)</f>
        <v>200</v>
      </c>
      <c r="J11" s="44">
        <f>IF($A11&gt;=Parameters!$B$27,INDEX(CarData,MATCH($H$5,HeaderCol,0),MATCH(J$6,Header,0)),0)</f>
        <v>300</v>
      </c>
      <c r="K11" s="44">
        <f>Parameters!$B$10*INDEX(CarData,MATCH($H$5,HeaderCol,0),MATCH("Fuel",Header,0))/100*Parameters!$B$24</f>
        <v>1732.5</v>
      </c>
      <c r="L11" s="44">
        <f>(H11+I11)*(1+Parameters!$B$26)^-($A11-1)</f>
        <v>170.96083820594515</v>
      </c>
      <c r="M11" s="44">
        <f>(J11+K11)*(1+Parameters!$B$26)^-($A11-0.5)</f>
        <v>1703.6505877614768</v>
      </c>
      <c r="N11" s="44"/>
      <c r="O11" s="44">
        <f>VLOOKUP(INDEX(CarData,MATCH($N$5,HeaderCol,0),MATCH("CO2",Header,0)),TaxCO2,MIN($A11,2)+2,TRUE)</f>
        <v>300</v>
      </c>
      <c r="P11" s="44">
        <f>IF($A11&gt;=Parameters!$B$27,INDEX(CarData,MATCH($N$5,HeaderCol,0),MATCH(P$6,Header,0)),0)</f>
        <v>350</v>
      </c>
      <c r="Q11" s="44">
        <f>Parameters!$B$10*INDEX(CarData,MATCH($N$5,HeaderCol,0),MATCH("Fuel",Header,0))/100*Parameters!$B$24</f>
        <v>1844.9999999999995</v>
      </c>
      <c r="R11" s="44">
        <f>(N11+O11)*(1+Parameters!$B$26)^-($A11-1)</f>
        <v>256.44125730891773</v>
      </c>
      <c r="S11" s="44">
        <f>(P11+Q11)*(1+Parameters!$B$26)^-($A11-0.5)</f>
        <v>1839.8588143352722</v>
      </c>
    </row>
    <row r="12" spans="1:19" x14ac:dyDescent="0.3">
      <c r="A12" s="69"/>
      <c r="B12" s="70"/>
      <c r="C12" s="71"/>
      <c r="D12" s="71"/>
      <c r="E12" s="71"/>
      <c r="F12" s="71"/>
      <c r="G12" s="72"/>
      <c r="H12" s="70"/>
      <c r="I12" s="71"/>
      <c r="J12" s="71"/>
      <c r="K12" s="71"/>
      <c r="L12" s="71"/>
      <c r="M12" s="72"/>
      <c r="N12" s="70"/>
      <c r="O12" s="71"/>
      <c r="P12" s="71"/>
      <c r="Q12" s="71"/>
      <c r="R12" s="71"/>
      <c r="S12" s="72"/>
    </row>
    <row r="13" spans="1:19" x14ac:dyDescent="0.3">
      <c r="A13" s="73" t="s">
        <v>57</v>
      </c>
      <c r="B13" s="74"/>
      <c r="G13" s="75">
        <f>B7</f>
        <v>28450</v>
      </c>
      <c r="H13" s="74"/>
      <c r="M13" s="75">
        <f>H7</f>
        <v>36866</v>
      </c>
      <c r="N13" s="74"/>
      <c r="S13" s="75">
        <f>N7</f>
        <v>65585</v>
      </c>
    </row>
    <row r="14" spans="1:19" ht="30" customHeight="1" x14ac:dyDescent="0.3">
      <c r="A14" s="76" t="s">
        <v>58</v>
      </c>
      <c r="B14" s="74"/>
      <c r="G14" s="77">
        <f>SUM(F7:G11)</f>
        <v>36259.548097789564</v>
      </c>
      <c r="H14" s="74"/>
      <c r="M14" s="77">
        <f>SUM(L7:M11)</f>
        <v>46370.485557875829</v>
      </c>
      <c r="N14" s="74"/>
      <c r="S14" s="77">
        <f>SUM(R7:S11)</f>
        <v>76248.720337446532</v>
      </c>
    </row>
    <row r="15" spans="1:19" ht="27" customHeight="1" x14ac:dyDescent="0.3">
      <c r="A15" s="76" t="s">
        <v>59</v>
      </c>
      <c r="B15" s="74"/>
      <c r="G15" s="77">
        <f>INDEX(CarData,MATCH($B$5,HeaderCol,0),MATCH("Profit Margin",Header,0))*G13</f>
        <v>1422.5</v>
      </c>
      <c r="H15" s="74"/>
      <c r="M15" s="77">
        <f>INDEX(CarData,MATCH($H$5,HeaderCol,0),MATCH("Profit Margin",Header,0))*M13</f>
        <v>2580.6200000000003</v>
      </c>
      <c r="N15" s="74"/>
      <c r="S15" s="77">
        <f>INDEX(CarData,MATCH($N$5,HeaderCol,0),MATCH("Profit Margin",Header,0))*S13</f>
        <v>7214.35</v>
      </c>
    </row>
    <row r="16" spans="1:19" ht="31.2" x14ac:dyDescent="0.3">
      <c r="A16" s="83" t="s">
        <v>72</v>
      </c>
      <c r="B16" s="78"/>
      <c r="C16" s="79"/>
      <c r="D16" s="79"/>
      <c r="E16" s="79"/>
      <c r="F16" s="79"/>
      <c r="G16" s="80">
        <f>G13-G15</f>
        <v>27027.5</v>
      </c>
      <c r="H16" s="78"/>
      <c r="I16" s="79"/>
      <c r="J16" s="79"/>
      <c r="K16" s="79"/>
      <c r="L16" s="79"/>
      <c r="M16" s="80">
        <f>M13-M15</f>
        <v>34285.379999999997</v>
      </c>
      <c r="N16" s="78"/>
      <c r="O16" s="79"/>
      <c r="P16" s="79"/>
      <c r="Q16" s="79"/>
      <c r="R16" s="79"/>
      <c r="S16" s="80">
        <f>S13-S15</f>
        <v>58370.65</v>
      </c>
    </row>
    <row r="19" spans="1:19" ht="18" x14ac:dyDescent="0.35">
      <c r="B19" s="62" t="s">
        <v>27</v>
      </c>
      <c r="C19" s="63"/>
      <c r="D19" s="63"/>
      <c r="E19" s="63"/>
      <c r="F19" s="63"/>
      <c r="G19" s="41"/>
      <c r="H19" s="62" t="s">
        <v>28</v>
      </c>
      <c r="I19" s="64"/>
      <c r="J19" s="64"/>
      <c r="K19" s="64"/>
      <c r="L19" s="64"/>
      <c r="M19" s="65"/>
      <c r="N19" s="62" t="s">
        <v>29</v>
      </c>
      <c r="O19" s="63"/>
      <c r="P19" s="63"/>
      <c r="Q19" s="63"/>
      <c r="R19" s="63"/>
      <c r="S19" s="41"/>
    </row>
    <row r="20" spans="1:19" ht="31.2" x14ac:dyDescent="0.3">
      <c r="A20" s="66" t="s">
        <v>53</v>
      </c>
      <c r="B20" s="66" t="s">
        <v>15</v>
      </c>
      <c r="C20" s="66" t="s">
        <v>54</v>
      </c>
      <c r="D20" s="67" t="s">
        <v>17</v>
      </c>
      <c r="E20" s="66" t="s">
        <v>60</v>
      </c>
      <c r="F20" s="66" t="s">
        <v>55</v>
      </c>
      <c r="G20" s="66" t="s">
        <v>56</v>
      </c>
      <c r="H20" s="66" t="s">
        <v>15</v>
      </c>
      <c r="I20" s="66" t="s">
        <v>54</v>
      </c>
      <c r="J20" s="67" t="s">
        <v>17</v>
      </c>
      <c r="K20" s="66" t="s">
        <v>60</v>
      </c>
      <c r="L20" s="66" t="s">
        <v>55</v>
      </c>
      <c r="M20" s="66" t="s">
        <v>56</v>
      </c>
      <c r="N20" s="66" t="s">
        <v>15</v>
      </c>
      <c r="O20" s="66" t="s">
        <v>54</v>
      </c>
      <c r="P20" s="67" t="s">
        <v>17</v>
      </c>
      <c r="Q20" s="66" t="s">
        <v>60</v>
      </c>
      <c r="R20" s="66" t="s">
        <v>55</v>
      </c>
      <c r="S20" s="66" t="s">
        <v>56</v>
      </c>
    </row>
    <row r="21" spans="1:19" x14ac:dyDescent="0.3">
      <c r="A21" s="42">
        <v>1</v>
      </c>
      <c r="B21" s="68">
        <f>INDEX(CarData,MATCH($B$19,HeaderCol,0),MATCH(B$20,Header,0))</f>
        <v>39465</v>
      </c>
      <c r="C21" s="44">
        <f>VLOOKUP(INDEX(CarData,MATCH($B$19,HeaderCol,0),MATCH("CO2",Header,0)),TaxCO2,MIN($A21,2)+2,TRUE)</f>
        <v>0</v>
      </c>
      <c r="D21" s="44">
        <f>IF($A21&gt;=Parameters!$B$27,INDEX(CarData,MATCH($B$19,HeaderCol,0),MATCH(D$6,Header,0)),0)</f>
        <v>0</v>
      </c>
      <c r="E21" s="44">
        <f>Parameters!$B$10/INDEX(CarData,MATCH($B$19,HeaderCol,0),MATCH("Range",Header,0))*INDEX(CarData,MATCH($B$19,HeaderCol,0),MATCH("Battery capacity",Header,0))*Parameters!$B$23</f>
        <v>986.36363636363649</v>
      </c>
      <c r="F21" s="44">
        <f>(B21+C21)*(1+Parameters!$B$26)^-($A21-1)</f>
        <v>39465</v>
      </c>
      <c r="G21" s="44">
        <f>(D21+E21)*(1+Parameters!$B$26)^-($A21-0.5)</f>
        <v>967.20912102240766</v>
      </c>
      <c r="H21" s="68">
        <f>INDEX(CarData,MATCH($H$19,HeaderCol,0),MATCH(H$6,Header,0))</f>
        <v>47825</v>
      </c>
      <c r="I21" s="44">
        <f>VLOOKUP(INDEX(CarData,MATCH($H$19,HeaderCol,0),MATCH("CO2",Header,0)),TaxCO2,MIN($A21,2)+2,TRUE)</f>
        <v>0</v>
      </c>
      <c r="J21" s="44">
        <f>IF($A21&gt;=Parameters!$B$27,INDEX(CarData,MATCH($H$19,HeaderCol,0),MATCH(J$6,Header,0)),0)</f>
        <v>0</v>
      </c>
      <c r="K21" s="44">
        <f>Parameters!$B$10/INDEX(CarData,MATCH($H$19,HeaderCol,0),MATCH("Range",Header,0))*INDEX(CarData,MATCH($H$19,HeaderCol,0),MATCH("Battery capacity",Header,0))*Parameters!$B$23</f>
        <v>1093.3333333333335</v>
      </c>
      <c r="L21" s="44">
        <f>(H21+I21)*(1+Parameters!$B$26)^-($A21-1)</f>
        <v>47825</v>
      </c>
      <c r="M21" s="44">
        <f>(J21+K21)*(1+Parameters!$B$26)^-($A21-0.5)</f>
        <v>1072.1015387554062</v>
      </c>
      <c r="N21" s="68">
        <f>INDEX(CarData,MATCH($N$19,HeaderCol,0),MATCH(N$6,Header,0))</f>
        <v>68834</v>
      </c>
      <c r="O21" s="44">
        <f>VLOOKUP(INDEX(CarData,MATCH($N$19,HeaderCol,0),MATCH("CO2",Header,0)),TaxCO2,MIN($A21,2)+2,TRUE)</f>
        <v>0</v>
      </c>
      <c r="P21" s="44">
        <f>IF($A21&gt;=Parameters!$B$27,INDEX(CarData,MATCH($N$19,HeaderCol,0),MATCH(P$6,Header,0)),0)</f>
        <v>0</v>
      </c>
      <c r="Q21" s="44">
        <f>Parameters!$B$10/INDEX(CarData,MATCH($N$19,HeaderCol,0),MATCH("Range",Header,0))*INDEX(CarData,MATCH($N$19,HeaderCol,0),MATCH("Battery capacity",Header,0))*Parameters!$B$23</f>
        <v>1304.8543689320391</v>
      </c>
      <c r="R21" s="44">
        <f>(N21+O21)*(1+Parameters!$B$26)^-($A21-1)</f>
        <v>68834</v>
      </c>
      <c r="S21" s="44">
        <f>(P21+Q21)*(1+Parameters!$B$26)^-($A21-0.5)</f>
        <v>1279.514978765628</v>
      </c>
    </row>
    <row r="22" spans="1:19" x14ac:dyDescent="0.3">
      <c r="A22" s="42">
        <v>2</v>
      </c>
      <c r="B22" s="44"/>
      <c r="C22" s="44">
        <f>VLOOKUP(INDEX(CarData,MATCH($B$19,HeaderCol,0),MATCH("CO2",Header,0)),TaxCO2,MIN($A22,2)+2,TRUE)</f>
        <v>0</v>
      </c>
      <c r="D22" s="44">
        <f>IF($A22&gt;=Parameters!$B$27,INDEX(CarData,MATCH($B$19,HeaderCol,0),MATCH(D$6,Header,0)),0)</f>
        <v>0</v>
      </c>
      <c r="E22" s="44">
        <f>Parameters!$B$10/INDEX(CarData,MATCH($B$19,HeaderCol,0),MATCH("Range",Header,0))*INDEX(CarData,MATCH($B$19,HeaderCol,0),MATCH("Battery capacity",Header,0))*Parameters!$B$23</f>
        <v>986.36363636363649</v>
      </c>
      <c r="F22" s="44">
        <f>(B22+C22)*(1+Parameters!$B$26)^-($A22-1)</f>
        <v>0</v>
      </c>
      <c r="G22" s="44">
        <f>(D22+E22)*(1+Parameters!$B$26)^-($A22-0.5)</f>
        <v>930.0087702138535</v>
      </c>
      <c r="H22" s="44"/>
      <c r="I22" s="44">
        <f>VLOOKUP(INDEX(CarData,MATCH($H$19,HeaderCol,0),MATCH("CO2",Header,0)),TaxCO2,MIN($A22,2)+2,TRUE)</f>
        <v>0</v>
      </c>
      <c r="J22" s="44">
        <f>IF($A22&gt;=Parameters!$B$27,INDEX(CarData,MATCH($H$19,HeaderCol,0),MATCH(J$6,Header,0)),0)</f>
        <v>0</v>
      </c>
      <c r="K22" s="44">
        <f>Parameters!$B$10/INDEX(CarData,MATCH($H$19,HeaderCol,0),MATCH("Range",Header,0))*INDEX(CarData,MATCH($H$19,HeaderCol,0),MATCH("Battery capacity",Header,0))*Parameters!$B$23</f>
        <v>1093.3333333333335</v>
      </c>
      <c r="L22" s="44">
        <f>(H22+I22)*(1+Parameters!$B$26)^-($A22-1)</f>
        <v>0</v>
      </c>
      <c r="M22" s="44">
        <f>(J22+K22)*(1+Parameters!$B$26)^-($A22-0.5)</f>
        <v>1030.8668641878905</v>
      </c>
      <c r="N22" s="44"/>
      <c r="O22" s="44">
        <f>VLOOKUP(INDEX(CarData,MATCH($N$19,HeaderCol,0),MATCH("CO2",Header,0)),TaxCO2,MIN($A22,2)+2,TRUE)</f>
        <v>0</v>
      </c>
      <c r="P22" s="44">
        <f>IF($A22&gt;=Parameters!$B$27,INDEX(CarData,MATCH($N$19,HeaderCol,0),MATCH(P$6,Header,0)),0)</f>
        <v>0</v>
      </c>
      <c r="Q22" s="44">
        <f>Parameters!$B$10/INDEX(CarData,MATCH($N$19,HeaderCol,0),MATCH("Range",Header,0))*INDEX(CarData,MATCH($N$19,HeaderCol,0),MATCH("Battery capacity",Header,0))*Parameters!$B$23</f>
        <v>1304.8543689320391</v>
      </c>
      <c r="R22" s="44">
        <f>(N22+O22)*(1+Parameters!$B$26)^-($A22-1)</f>
        <v>0</v>
      </c>
      <c r="S22" s="44">
        <f>(P22+Q22)*(1+Parameters!$B$26)^-($A22-0.5)</f>
        <v>1230.3028641977191</v>
      </c>
    </row>
    <row r="23" spans="1:19" x14ac:dyDescent="0.3">
      <c r="A23" s="42">
        <v>3</v>
      </c>
      <c r="B23" s="44"/>
      <c r="C23" s="44">
        <f>VLOOKUP(INDEX(CarData,MATCH($B$19,HeaderCol,0),MATCH("CO2",Header,0)),TaxCO2,MIN($A23,2)+2,TRUE)</f>
        <v>0</v>
      </c>
      <c r="D23" s="44">
        <f>IF($A23&gt;=Parameters!$B$27,INDEX(CarData,MATCH($B$19,HeaderCol,0),MATCH(D$6,Header,0)),0)</f>
        <v>0</v>
      </c>
      <c r="E23" s="44">
        <f>Parameters!$B$10/INDEX(CarData,MATCH($B$19,HeaderCol,0),MATCH("Range",Header,0))*INDEX(CarData,MATCH($B$19,HeaderCol,0),MATCH("Battery capacity",Header,0))*Parameters!$B$23</f>
        <v>986.36363636363649</v>
      </c>
      <c r="F23" s="44">
        <f>(B23+C23)*(1+Parameters!$B$26)^-($A23-1)</f>
        <v>0</v>
      </c>
      <c r="G23" s="44">
        <f>(D23+E23)*(1+Parameters!$B$26)^-($A23-0.5)</f>
        <v>894.23920212870519</v>
      </c>
      <c r="H23" s="44"/>
      <c r="I23" s="44">
        <f>VLOOKUP(INDEX(CarData,MATCH($H$19,HeaderCol,0),MATCH("CO2",Header,0)),TaxCO2,MIN($A23,2)+2,TRUE)</f>
        <v>0</v>
      </c>
      <c r="J23" s="44">
        <f>IF($A23&gt;=Parameters!$B$27,INDEX(CarData,MATCH($H$19,HeaderCol,0),MATCH(J$6,Header,0)),0)</f>
        <v>0</v>
      </c>
      <c r="K23" s="44">
        <f>Parameters!$B$10/INDEX(CarData,MATCH($H$19,HeaderCol,0),MATCH("Range",Header,0))*INDEX(CarData,MATCH($H$19,HeaderCol,0),MATCH("Battery capacity",Header,0))*Parameters!$B$23</f>
        <v>1093.3333333333335</v>
      </c>
      <c r="L23" s="44">
        <f>(H23+I23)*(1+Parameters!$B$26)^-($A23-1)</f>
        <v>0</v>
      </c>
      <c r="M23" s="44">
        <f>(J23+K23)*(1+Parameters!$B$26)^-($A23-0.5)</f>
        <v>991.21813864220235</v>
      </c>
      <c r="N23" s="44"/>
      <c r="O23" s="44">
        <f>VLOOKUP(INDEX(CarData,MATCH($N$19,HeaderCol,0),MATCH("CO2",Header,0)),TaxCO2,MIN($A23,2)+2,TRUE)</f>
        <v>0</v>
      </c>
      <c r="P23" s="44">
        <f>IF($A23&gt;=Parameters!$B$27,INDEX(CarData,MATCH($N$19,HeaderCol,0),MATCH(P$6,Header,0)),0)</f>
        <v>0</v>
      </c>
      <c r="Q23" s="44">
        <f>Parameters!$B$10/INDEX(CarData,MATCH($N$19,HeaderCol,0),MATCH("Range",Header,0))*INDEX(CarData,MATCH($N$19,HeaderCol,0),MATCH("Battery capacity",Header,0))*Parameters!$B$23</f>
        <v>1304.8543689320391</v>
      </c>
      <c r="R23" s="44">
        <f>(N23+O23)*(1+Parameters!$B$26)^-($A23-1)</f>
        <v>0</v>
      </c>
      <c r="S23" s="44">
        <f>(P23+Q23)*(1+Parameters!$B$26)^-($A23-0.5)</f>
        <v>1182.9835232670375</v>
      </c>
    </row>
    <row r="24" spans="1:19" x14ac:dyDescent="0.3">
      <c r="A24" s="42">
        <v>4</v>
      </c>
      <c r="B24" s="44"/>
      <c r="C24" s="44">
        <f>VLOOKUP(INDEX(CarData,MATCH($B$19,HeaderCol,0),MATCH("CO2",Header,0)),TaxCO2,MIN($A24,2)+2,TRUE)</f>
        <v>0</v>
      </c>
      <c r="D24" s="44">
        <f>IF($A24&gt;=Parameters!$B$27,INDEX(CarData,MATCH($B$19,HeaderCol,0),MATCH(D$6,Header,0)),0)</f>
        <v>100</v>
      </c>
      <c r="E24" s="44">
        <f>Parameters!$B$10/INDEX(CarData,MATCH($B$19,HeaderCol,0),MATCH("Range",Header,0))*INDEX(CarData,MATCH($B$19,HeaderCol,0),MATCH("Battery capacity",Header,0))*Parameters!$B$23</f>
        <v>986.36363636363649</v>
      </c>
      <c r="F24" s="44">
        <f>(B24+C24)*(1+Parameters!$B$26)^-($A24-1)</f>
        <v>0</v>
      </c>
      <c r="G24" s="44">
        <f>(D24+E24)*(1+Parameters!$B$26)^-($A24-0.5)</f>
        <v>947.01865166944583</v>
      </c>
      <c r="H24" s="44"/>
      <c r="I24" s="44">
        <f>VLOOKUP(INDEX(CarData,MATCH($H$19,HeaderCol,0),MATCH("CO2",Header,0)),TaxCO2,MIN($A24,2)+2,TRUE)</f>
        <v>0</v>
      </c>
      <c r="J24" s="44">
        <f>IF($A24&gt;=Parameters!$B$27,INDEX(CarData,MATCH($H$19,HeaderCol,0),MATCH(J$6,Header,0)),0)</f>
        <v>150</v>
      </c>
      <c r="K24" s="44">
        <f>Parameters!$B$10/INDEX(CarData,MATCH($H$19,HeaderCol,0),MATCH("Range",Header,0))*INDEX(CarData,MATCH($H$19,HeaderCol,0),MATCH("Battery capacity",Header,0))*Parameters!$B$23</f>
        <v>1093.3333333333335</v>
      </c>
      <c r="L24" s="44">
        <f>(H24+I24)*(1+Parameters!$B$26)^-($A24-1)</f>
        <v>0</v>
      </c>
      <c r="M24" s="44">
        <f>(J24+K24)*(1+Parameters!$B$26)^-($A24-0.5)</f>
        <v>1083.8542615898846</v>
      </c>
      <c r="N24" s="44"/>
      <c r="O24" s="44">
        <f>VLOOKUP(INDEX(CarData,MATCH($N$19,HeaderCol,0),MATCH("CO2",Header,0)),TaxCO2,MIN($A24,2)+2,TRUE)</f>
        <v>0</v>
      </c>
      <c r="P24" s="44">
        <f>IF($A24&gt;=Parameters!$B$27,INDEX(CarData,MATCH($N$19,HeaderCol,0),MATCH(P$6,Header,0)),0)</f>
        <v>180</v>
      </c>
      <c r="Q24" s="44">
        <f>Parameters!$B$10/INDEX(CarData,MATCH($N$19,HeaderCol,0),MATCH("Range",Header,0))*INDEX(CarData,MATCH($N$19,HeaderCol,0),MATCH("Battery capacity",Header,0))*Parameters!$B$23</f>
        <v>1304.8543689320391</v>
      </c>
      <c r="R24" s="44">
        <f>(N24+O24)*(1+Parameters!$B$26)^-($A24-1)</f>
        <v>0</v>
      </c>
      <c r="S24" s="44">
        <f>(P24+Q24)*(1+Parameters!$B$26)^-($A24-0.5)</f>
        <v>1294.396034000549</v>
      </c>
    </row>
    <row r="25" spans="1:19" x14ac:dyDescent="0.3">
      <c r="A25" s="42">
        <v>5</v>
      </c>
      <c r="B25" s="44"/>
      <c r="C25" s="44">
        <f>VLOOKUP(INDEX(CarData,MATCH($B$19,HeaderCol,0),MATCH("CO2",Header,0)),TaxCO2,MIN($A25,2)+2,TRUE)</f>
        <v>0</v>
      </c>
      <c r="D25" s="44">
        <f>IF($A25&gt;=Parameters!$B$27,INDEX(CarData,MATCH($B$19,HeaderCol,0),MATCH(D$6,Header,0)),0)</f>
        <v>100</v>
      </c>
      <c r="E25" s="44">
        <f>Parameters!$B$10/INDEX(CarData,MATCH($B$19,HeaderCol,0),MATCH("Range",Header,0))*INDEX(CarData,MATCH($B$19,HeaderCol,0),MATCH("Battery capacity",Header,0))*Parameters!$B$23</f>
        <v>986.36363636363649</v>
      </c>
      <c r="F25" s="44">
        <f>(B25+C25)*(1+Parameters!$B$26)^-($A25-1)</f>
        <v>0</v>
      </c>
      <c r="G25" s="44">
        <f>(D25+E25)*(1+Parameters!$B$26)^-($A25-0.5)</f>
        <v>910.59485737446721</v>
      </c>
      <c r="H25" s="44"/>
      <c r="I25" s="44">
        <f>VLOOKUP(INDEX(CarData,MATCH($H$19,HeaderCol,0),MATCH("CO2",Header,0)),TaxCO2,MIN($A25,2)+2,TRUE)</f>
        <v>0</v>
      </c>
      <c r="J25" s="44">
        <f>IF($A25&gt;=Parameters!$B$27,INDEX(CarData,MATCH($H$19,HeaderCol,0),MATCH(J$6,Header,0)),0)</f>
        <v>150</v>
      </c>
      <c r="K25" s="44">
        <f>Parameters!$B$10/INDEX(CarData,MATCH($H$19,HeaderCol,0),MATCH("Range",Header,0))*INDEX(CarData,MATCH($H$19,HeaderCol,0),MATCH("Battery capacity",Header,0))*Parameters!$B$23</f>
        <v>1093.3333333333335</v>
      </c>
      <c r="L25" s="44">
        <f>(H25+I25)*(1+Parameters!$B$26)^-($A25-1)</f>
        <v>0</v>
      </c>
      <c r="M25" s="44">
        <f>(J25+K25)*(1+Parameters!$B$26)^-($A25-0.5)</f>
        <v>1042.1675592210429</v>
      </c>
      <c r="N25" s="44"/>
      <c r="O25" s="44">
        <f>VLOOKUP(INDEX(CarData,MATCH($N$19,HeaderCol,0),MATCH("CO2",Header,0)),TaxCO2,MIN($A25,2)+2,TRUE)</f>
        <v>0</v>
      </c>
      <c r="P25" s="44">
        <f>IF($A25&gt;=Parameters!$B$27,INDEX(CarData,MATCH($N$19,HeaderCol,0),MATCH(P$6,Header,0)),0)</f>
        <v>180</v>
      </c>
      <c r="Q25" s="44">
        <f>Parameters!$B$10/INDEX(CarData,MATCH($N$19,HeaderCol,0),MATCH("Range",Header,0))*INDEX(CarData,MATCH($N$19,HeaderCol,0),MATCH("Battery capacity",Header,0))*Parameters!$B$23</f>
        <v>1304.8543689320391</v>
      </c>
      <c r="R25" s="44">
        <f>(N25+O25)*(1+Parameters!$B$26)^-($A25-1)</f>
        <v>0</v>
      </c>
      <c r="S25" s="44">
        <f>(P25+Q25)*(1+Parameters!$B$26)^-($A25-0.5)</f>
        <v>1244.6115711543739</v>
      </c>
    </row>
    <row r="26" spans="1:19" x14ac:dyDescent="0.3">
      <c r="A26" s="69"/>
      <c r="B26" s="70"/>
      <c r="C26" s="71"/>
      <c r="D26" s="71"/>
      <c r="E26" s="71"/>
      <c r="F26" s="71"/>
      <c r="G26" s="72"/>
      <c r="H26" s="70"/>
      <c r="I26" s="71"/>
      <c r="J26" s="71"/>
      <c r="K26" s="71"/>
      <c r="L26" s="71"/>
      <c r="M26" s="72"/>
      <c r="N26" s="70"/>
      <c r="O26" s="71"/>
      <c r="P26" s="71"/>
      <c r="Q26" s="71"/>
      <c r="R26" s="71"/>
      <c r="S26" s="72"/>
    </row>
    <row r="27" spans="1:19" x14ac:dyDescent="0.3">
      <c r="A27" s="73" t="s">
        <v>57</v>
      </c>
      <c r="B27" s="74"/>
      <c r="G27" s="75">
        <f>B21</f>
        <v>39465</v>
      </c>
      <c r="H27" s="74"/>
      <c r="M27" s="75">
        <f>H21</f>
        <v>47825</v>
      </c>
      <c r="N27" s="74"/>
      <c r="S27" s="75">
        <f>N21</f>
        <v>68834</v>
      </c>
    </row>
    <row r="28" spans="1:19" ht="31.2" x14ac:dyDescent="0.3">
      <c r="A28" s="76" t="s">
        <v>58</v>
      </c>
      <c r="B28" s="74"/>
      <c r="G28" s="77">
        <f>SUM(F21:G25)</f>
        <v>44114.070602408887</v>
      </c>
      <c r="H28" s="74"/>
      <c r="M28" s="77">
        <f>SUM(L21:M25)</f>
        <v>53045.208362396428</v>
      </c>
      <c r="N28" s="74"/>
      <c r="S28" s="77">
        <f>SUM(R21:S25)</f>
        <v>75065.808971385297</v>
      </c>
    </row>
    <row r="29" spans="1:19" x14ac:dyDescent="0.3">
      <c r="A29" s="76" t="s">
        <v>59</v>
      </c>
      <c r="B29" s="74"/>
      <c r="G29" s="77">
        <f>INDEX(CarData,MATCH($B$19,HeaderCol,0),MATCH("Profit Margin",Header,0))*G27</f>
        <v>4341.1499999999996</v>
      </c>
      <c r="H29" s="74"/>
      <c r="M29" s="77">
        <f>INDEX(CarData,MATCH($H$19,HeaderCol,0),MATCH("Profit Margin",Header,0))*M27</f>
        <v>6695.5000000000009</v>
      </c>
      <c r="N29" s="74"/>
      <c r="S29" s="77">
        <f>INDEX(CarData,MATCH($N$19,HeaderCol,0),MATCH("Profit Margin",Header,0))*S27</f>
        <v>12390.119999999999</v>
      </c>
    </row>
    <row r="30" spans="1:19" ht="31.2" x14ac:dyDescent="0.3">
      <c r="A30" s="83" t="s">
        <v>72</v>
      </c>
      <c r="B30" s="78"/>
      <c r="C30" s="79"/>
      <c r="D30" s="79"/>
      <c r="E30" s="79"/>
      <c r="F30" s="79"/>
      <c r="G30" s="80">
        <f>G27-G29</f>
        <v>35123.85</v>
      </c>
      <c r="H30" s="78"/>
      <c r="I30" s="79"/>
      <c r="J30" s="79"/>
      <c r="K30" s="79"/>
      <c r="L30" s="79"/>
      <c r="M30" s="80">
        <f>M27-M29</f>
        <v>41129.5</v>
      </c>
      <c r="N30" s="78"/>
      <c r="O30" s="79"/>
      <c r="P30" s="79"/>
      <c r="Q30" s="79"/>
      <c r="R30" s="79"/>
      <c r="S30" s="80">
        <f>S27-S29</f>
        <v>56443.880000000005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ColWidth="11.19921875" defaultRowHeight="15.6" x14ac:dyDescent="0.3"/>
  <cols>
    <col min="1" max="1" width="18.796875" bestFit="1" customWidth="1"/>
    <col min="2" max="2" width="11.19921875" bestFit="1" customWidth="1"/>
    <col min="3" max="3" width="14.19921875" bestFit="1" customWidth="1"/>
    <col min="4" max="5" width="16.19921875" bestFit="1" customWidth="1"/>
    <col min="6" max="6" width="13.796875" customWidth="1"/>
  </cols>
  <sheetData>
    <row r="1" spans="1:6" ht="18" x14ac:dyDescent="0.35">
      <c r="A1" s="1" t="s">
        <v>61</v>
      </c>
    </row>
    <row r="3" spans="1:6" ht="31.2" x14ac:dyDescent="0.3">
      <c r="B3" s="2" t="s">
        <v>62</v>
      </c>
      <c r="C3" s="2" t="s">
        <v>59</v>
      </c>
      <c r="D3" s="2" t="s">
        <v>63</v>
      </c>
      <c r="E3" s="2" t="s">
        <v>64</v>
      </c>
      <c r="F3" s="81" t="s">
        <v>72</v>
      </c>
    </row>
    <row r="4" spans="1:6" x14ac:dyDescent="0.3">
      <c r="A4" t="s">
        <v>24</v>
      </c>
      <c r="B4" s="10">
        <f>INDEX(Data!N:N,MATCH($A4,Data!A:A,0))</f>
        <v>25567</v>
      </c>
      <c r="C4" s="10">
        <f>$B4*'Calculations-Base'!G15</f>
        <v>36369057.5</v>
      </c>
      <c r="D4" s="10">
        <f>$B4*'Calculations-Base'!$G13</f>
        <v>727381150</v>
      </c>
      <c r="E4" s="10">
        <f>$B4*'Calculations-Base'!$G14</f>
        <v>927047866.21618581</v>
      </c>
      <c r="F4" s="10">
        <f>$B4*'Calculations-Base'!$G16</f>
        <v>691012092.5</v>
      </c>
    </row>
    <row r="5" spans="1:6" x14ac:dyDescent="0.3">
      <c r="A5" t="s">
        <v>25</v>
      </c>
      <c r="B5" s="10">
        <f>INDEX(Data!N:N,MATCH($A5,Data!A:A,0))</f>
        <v>1893</v>
      </c>
      <c r="C5" s="10">
        <f>$B5*'Calculations-Base'!M15</f>
        <v>4885113.6600000011</v>
      </c>
      <c r="D5" s="10">
        <f>$B5*'Calculations-Base'!$M13</f>
        <v>69787338</v>
      </c>
      <c r="E5" s="10">
        <f>$B5*'Calculations-Base'!$M14</f>
        <v>87779329.161058947</v>
      </c>
      <c r="F5" s="10">
        <f>$B5*'Calculations-Base'!$M16</f>
        <v>64902224.339999996</v>
      </c>
    </row>
    <row r="6" spans="1:6" x14ac:dyDescent="0.3">
      <c r="A6" t="s">
        <v>26</v>
      </c>
      <c r="B6" s="10">
        <f>INDEX(Data!N:N,MATCH($A6,Data!A:A,0))</f>
        <v>1836</v>
      </c>
      <c r="C6" s="10">
        <f>$B6*'Calculations-Base'!S15</f>
        <v>13245546.600000001</v>
      </c>
      <c r="D6" s="10">
        <f>$B6*'Calculations-Base'!$S13</f>
        <v>120414060</v>
      </c>
      <c r="E6" s="10">
        <f>$B6*'Calculations-Base'!$S14</f>
        <v>139992650.53955182</v>
      </c>
      <c r="F6" s="10">
        <f>$B6*'Calculations-Base'!$S16</f>
        <v>107168513.40000001</v>
      </c>
    </row>
    <row r="7" spans="1:6" x14ac:dyDescent="0.3">
      <c r="A7" t="s">
        <v>27</v>
      </c>
      <c r="B7" s="10">
        <f>INDEX(Data!N:N,MATCH($A7,Data!A:A,0))</f>
        <v>11146</v>
      </c>
      <c r="C7" s="10">
        <f>$B7*'Calculations-Base'!G29</f>
        <v>48386457.899999999</v>
      </c>
      <c r="D7" s="10">
        <f>$B7*'Calculations-Base'!$G27</f>
        <v>439876890</v>
      </c>
      <c r="E7" s="10">
        <f>$B7*'Calculations-Base'!$G28</f>
        <v>491695430.93444943</v>
      </c>
      <c r="F7" s="10">
        <f>$B7*'Calculations-Base'!$G30</f>
        <v>391490432.09999996</v>
      </c>
    </row>
    <row r="8" spans="1:6" x14ac:dyDescent="0.3">
      <c r="A8" t="s">
        <v>28</v>
      </c>
      <c r="B8" s="10">
        <f>INDEX(Data!N:N,MATCH($A8,Data!A:A,0))</f>
        <v>6291</v>
      </c>
      <c r="C8" s="10">
        <f>$B8*'Calculations-Base'!M29</f>
        <v>42121390.500000007</v>
      </c>
      <c r="D8" s="10">
        <f>$B8*'Calculations-Base'!$M27</f>
        <v>300867075</v>
      </c>
      <c r="E8" s="10">
        <f>$B8*'Calculations-Base'!$M28</f>
        <v>333707405.80783594</v>
      </c>
      <c r="F8" s="10">
        <f>$B8*'Calculations-Base'!$M30</f>
        <v>258745684.5</v>
      </c>
    </row>
    <row r="9" spans="1:6" x14ac:dyDescent="0.3">
      <c r="A9" t="s">
        <v>29</v>
      </c>
      <c r="B9" s="10">
        <f>INDEX(Data!N:N,MATCH($A9,Data!A:A,0))</f>
        <v>3848</v>
      </c>
      <c r="C9" s="10">
        <f>$B9*'Calculations-Base'!S29</f>
        <v>47677181.759999998</v>
      </c>
      <c r="D9" s="10">
        <f>$B9*'Calculations-Base'!$S27</f>
        <v>264873232</v>
      </c>
      <c r="E9" s="10">
        <f>$B9*'Calculations-Base'!$S28</f>
        <v>288853232.92189062</v>
      </c>
      <c r="F9" s="10">
        <f>$B9*'Calculations-Base'!$S30</f>
        <v>217196050.24000001</v>
      </c>
    </row>
    <row r="10" spans="1:6" x14ac:dyDescent="0.3">
      <c r="B10" s="10"/>
      <c r="C10" s="10"/>
      <c r="D10" s="10"/>
      <c r="E10" s="10"/>
    </row>
    <row r="11" spans="1:6" x14ac:dyDescent="0.3">
      <c r="A11" t="s">
        <v>50</v>
      </c>
      <c r="B11" s="10">
        <f>SUM(B4:B10)</f>
        <v>50581</v>
      </c>
      <c r="C11" s="10">
        <f>SUM(C4:C10)</f>
        <v>192684747.91999999</v>
      </c>
      <c r="D11" s="10">
        <f>SUM(D4:D10)</f>
        <v>1923199745</v>
      </c>
      <c r="E11" s="10">
        <f>SUM(E4:E10)</f>
        <v>2269075915.5809727</v>
      </c>
      <c r="F11" s="10">
        <f>SUM(F4:F10)</f>
        <v>1730514997.0799999</v>
      </c>
    </row>
    <row r="13" spans="1:6" x14ac:dyDescent="0.3">
      <c r="A13" t="s">
        <v>70</v>
      </c>
      <c r="B13" t="str">
        <f>IF(B11=Data!$N$10,"OK","Check")</f>
        <v>OK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0"/>
  <sheetViews>
    <sheetView workbookViewId="0"/>
  </sheetViews>
  <sheetFormatPr defaultColWidth="11.19921875" defaultRowHeight="15.6" x14ac:dyDescent="0.3"/>
  <cols>
    <col min="1" max="1" width="14.69921875" customWidth="1"/>
    <col min="6" max="6" width="11.296875" customWidth="1"/>
  </cols>
  <sheetData>
    <row r="1" spans="1:19" ht="21" x14ac:dyDescent="0.4">
      <c r="A1" s="61" t="s">
        <v>65</v>
      </c>
    </row>
    <row r="2" spans="1:19" x14ac:dyDescent="0.3">
      <c r="A2" t="s">
        <v>66</v>
      </c>
    </row>
    <row r="5" spans="1:19" ht="18" x14ac:dyDescent="0.35">
      <c r="B5" s="62" t="s">
        <v>24</v>
      </c>
      <c r="C5" s="63"/>
      <c r="D5" s="63"/>
      <c r="E5" s="63"/>
      <c r="F5" s="63"/>
      <c r="G5" s="41"/>
      <c r="H5" s="62" t="s">
        <v>25</v>
      </c>
      <c r="I5" s="64"/>
      <c r="J5" s="64"/>
      <c r="K5" s="64"/>
      <c r="L5" s="64"/>
      <c r="M5" s="65"/>
      <c r="N5" s="62" t="s">
        <v>26</v>
      </c>
      <c r="O5" s="63"/>
      <c r="P5" s="63"/>
      <c r="Q5" s="63"/>
      <c r="R5" s="63"/>
      <c r="S5" s="41"/>
    </row>
    <row r="6" spans="1:19" ht="31.2" x14ac:dyDescent="0.3">
      <c r="A6" s="66" t="s">
        <v>53</v>
      </c>
      <c r="B6" s="66" t="s">
        <v>15</v>
      </c>
      <c r="C6" s="66" t="s">
        <v>54</v>
      </c>
      <c r="D6" s="67" t="s">
        <v>17</v>
      </c>
      <c r="E6" s="66" t="s">
        <v>11</v>
      </c>
      <c r="F6" s="66" t="s">
        <v>55</v>
      </c>
      <c r="G6" s="66" t="s">
        <v>56</v>
      </c>
      <c r="H6" s="66" t="s">
        <v>15</v>
      </c>
      <c r="I6" s="66" t="s">
        <v>54</v>
      </c>
      <c r="J6" s="67" t="s">
        <v>17</v>
      </c>
      <c r="K6" s="66" t="s">
        <v>11</v>
      </c>
      <c r="L6" s="66" t="s">
        <v>55</v>
      </c>
      <c r="M6" s="66" t="s">
        <v>56</v>
      </c>
      <c r="N6" s="66" t="s">
        <v>15</v>
      </c>
      <c r="O6" s="66" t="s">
        <v>54</v>
      </c>
      <c r="P6" s="67" t="s">
        <v>17</v>
      </c>
      <c r="Q6" s="66" t="s">
        <v>11</v>
      </c>
      <c r="R6" s="66" t="s">
        <v>55</v>
      </c>
      <c r="S6" s="66" t="s">
        <v>56</v>
      </c>
    </row>
    <row r="7" spans="1:19" x14ac:dyDescent="0.3">
      <c r="A7" s="42">
        <v>1</v>
      </c>
      <c r="B7" s="68">
        <f>INDEX(CarData,MATCH($B$5,HeaderCol,0),MATCH(B$6,Header,0))</f>
        <v>28450</v>
      </c>
      <c r="C7" s="44">
        <f>VLOOKUP(INDEX(CarData,MATCH($B$5,HeaderCol,0),MATCH("Weight",Header,0)),TaxWeight,3,TRUE)</f>
        <v>300</v>
      </c>
      <c r="D7" s="44">
        <f>IF($A7&gt;=Parameters!$B$27,INDEX(CarData,MATCH($B$5,HeaderCol,0),MATCH(D$6,Header,0)),0)</f>
        <v>0</v>
      </c>
      <c r="E7" s="44">
        <f>Parameters!$B$10*INDEX(CarData,MATCH($B$5,HeaderCol,0),MATCH("Fuel",Header,0))/100*Parameters!$B$24</f>
        <v>1440</v>
      </c>
      <c r="F7" s="44">
        <f>(B7+C7)*(1+Parameters!$B$26)^-($A7-1)</f>
        <v>28750</v>
      </c>
      <c r="G7" s="44">
        <f>(D7+E7)*(1+Parameters!$B$26)^-($A7-0.5)</f>
        <v>1412.036172994925</v>
      </c>
      <c r="H7" s="68">
        <f>INDEX(CarData,MATCH($H$5,HeaderCol,0),MATCH(H$6,Header,0))</f>
        <v>36866</v>
      </c>
      <c r="I7" s="44">
        <f>VLOOKUP(INDEX(CarData,MATCH($H$5,HeaderCol,0),MATCH("Weight",Header,0)),TaxWeight,3,TRUE)</f>
        <v>300</v>
      </c>
      <c r="J7" s="44">
        <f>IF($A7&gt;=Parameters!$B$27,INDEX(CarData,MATCH($H$5,HeaderCol,0),MATCH(J$6,Header,0)),0)</f>
        <v>0</v>
      </c>
      <c r="K7" s="44">
        <f>Parameters!$B$10*INDEX(CarData,MATCH($H$5,HeaderCol,0),MATCH("Fuel",Header,0))/100*Parameters!$B$24</f>
        <v>1732.5</v>
      </c>
      <c r="L7" s="44">
        <f>(H7+I7)*(1+Parameters!$B$26)^-($A7-1)</f>
        <v>37166</v>
      </c>
      <c r="M7" s="44">
        <f>(J7+K7)*(1+Parameters!$B$26)^-($A7-0.5)</f>
        <v>1698.8560206345192</v>
      </c>
      <c r="N7" s="68">
        <f>INDEX(CarData,MATCH($N$5,HeaderCol,0),MATCH(N$6,Header,0))</f>
        <v>65585</v>
      </c>
      <c r="O7" s="44">
        <f>VLOOKUP(INDEX(CarData,MATCH($N$5,HeaderCol,0),MATCH("Weight",Header,0)),TaxWeight,3,TRUE)</f>
        <v>600</v>
      </c>
      <c r="P7" s="44">
        <f>IF($A7&gt;=Parameters!$B$27,INDEX(CarData,MATCH($N$5,HeaderCol,0),MATCH(P$6,Header,0)),0)</f>
        <v>0</v>
      </c>
      <c r="Q7" s="44">
        <f>Parameters!$B$10*INDEX(CarData,MATCH($N$5,HeaderCol,0),MATCH("Fuel",Header,0))/100*Parameters!$B$24</f>
        <v>1844.9999999999995</v>
      </c>
      <c r="R7" s="44">
        <f>(N7+O7)*(1+Parameters!$B$26)^-($A7-1)</f>
        <v>66185</v>
      </c>
      <c r="S7" s="44">
        <f>(P7+Q7)*(1+Parameters!$B$26)^-($A7-0.5)</f>
        <v>1809.1713466497472</v>
      </c>
    </row>
    <row r="8" spans="1:19" x14ac:dyDescent="0.3">
      <c r="A8" s="42">
        <v>2</v>
      </c>
      <c r="B8" s="44"/>
      <c r="C8" s="44">
        <f>VLOOKUP(INDEX(CarData,MATCH($B$5,HeaderCol,0),MATCH("Weight",Header,0)),TaxWeight,3,TRUE)</f>
        <v>300</v>
      </c>
      <c r="D8" s="44">
        <f>IF($A8&gt;=Parameters!$B$27,INDEX(CarData,MATCH($B$5,HeaderCol,0),MATCH(D$6,Header,0)),0)</f>
        <v>0</v>
      </c>
      <c r="E8" s="44">
        <f>Parameters!$B$10*INDEX(CarData,MATCH($B$5,HeaderCol,0),MATCH("Fuel",Header,0))/100*Parameters!$B$24</f>
        <v>1440</v>
      </c>
      <c r="F8" s="44">
        <f>(B8+C8)*(1+Parameters!$B$26)^-($A8-1)</f>
        <v>288.46153846153845</v>
      </c>
      <c r="G8" s="44">
        <f>(D8+E8)*(1+Parameters!$B$26)^-($A8-0.5)</f>
        <v>1357.727089418197</v>
      </c>
      <c r="H8" s="44"/>
      <c r="I8" s="44">
        <f>VLOOKUP(INDEX(CarData,MATCH($H$5,HeaderCol,0),MATCH("Weight",Header,0)),TaxWeight,3,TRUE)</f>
        <v>300</v>
      </c>
      <c r="J8" s="44">
        <f>IF($A8&gt;=Parameters!$B$27,INDEX(CarData,MATCH($H$5,HeaderCol,0),MATCH(J$6,Header,0)),0)</f>
        <v>0</v>
      </c>
      <c r="K8" s="44">
        <f>Parameters!$B$10*INDEX(CarData,MATCH($H$5,HeaderCol,0),MATCH("Fuel",Header,0))/100*Parameters!$B$24</f>
        <v>1732.5</v>
      </c>
      <c r="L8" s="44">
        <f>(H8+I8)*(1+Parameters!$B$26)^-($A8-1)</f>
        <v>288.46153846153845</v>
      </c>
      <c r="M8" s="44">
        <f>(J8+K8)*(1+Parameters!$B$26)^-($A8-0.5)</f>
        <v>1633.5154044562682</v>
      </c>
      <c r="N8" s="44"/>
      <c r="O8" s="44">
        <f>VLOOKUP(INDEX(CarData,MATCH($N$5,HeaderCol,0),MATCH("Weight",Header,0)),TaxWeight,3,TRUE)</f>
        <v>600</v>
      </c>
      <c r="P8" s="44">
        <f>IF($A8&gt;=Parameters!$B$27,INDEX(CarData,MATCH($N$5,HeaderCol,0),MATCH(P$6,Header,0)),0)</f>
        <v>0</v>
      </c>
      <c r="Q8" s="44">
        <f>Parameters!$B$10*INDEX(CarData,MATCH($N$5,HeaderCol,0),MATCH("Fuel",Header,0))/100*Parameters!$B$24</f>
        <v>1844.9999999999995</v>
      </c>
      <c r="R8" s="44">
        <f>(N8+O8)*(1+Parameters!$B$26)^-($A8-1)</f>
        <v>576.92307692307691</v>
      </c>
      <c r="S8" s="44">
        <f>(P8+Q8)*(1+Parameters!$B$26)^-($A8-0.5)</f>
        <v>1739.5878333170645</v>
      </c>
    </row>
    <row r="9" spans="1:19" x14ac:dyDescent="0.3">
      <c r="A9" s="42">
        <v>3</v>
      </c>
      <c r="B9" s="44"/>
      <c r="C9" s="44">
        <f>VLOOKUP(INDEX(CarData,MATCH($B$5,HeaderCol,0),MATCH("Weight",Header,0)),TaxWeight,3,TRUE)</f>
        <v>300</v>
      </c>
      <c r="D9" s="44">
        <f>IF($A9&gt;=Parameters!$B$27,INDEX(CarData,MATCH($B$5,HeaderCol,0),MATCH(D$6,Header,0)),0)</f>
        <v>0</v>
      </c>
      <c r="E9" s="44">
        <f>Parameters!$B$10*INDEX(CarData,MATCH($B$5,HeaderCol,0),MATCH("Fuel",Header,0))/100*Parameters!$B$24</f>
        <v>1440</v>
      </c>
      <c r="F9" s="44">
        <f>(B9+C9)*(1+Parameters!$B$26)^-($A9-1)</f>
        <v>277.36686390532543</v>
      </c>
      <c r="G9" s="44">
        <f>(D9+E9)*(1+Parameters!$B$26)^-($A9-0.5)</f>
        <v>1305.5068167482661</v>
      </c>
      <c r="H9" s="44"/>
      <c r="I9" s="44">
        <f>VLOOKUP(INDEX(CarData,MATCH($H$5,HeaderCol,0),MATCH("Weight",Header,0)),TaxWeight,3,TRUE)</f>
        <v>300</v>
      </c>
      <c r="J9" s="44">
        <f>IF($A9&gt;=Parameters!$B$27,INDEX(CarData,MATCH($H$5,HeaderCol,0),MATCH(J$6,Header,0)),0)</f>
        <v>0</v>
      </c>
      <c r="K9" s="44">
        <f>Parameters!$B$10*INDEX(CarData,MATCH($H$5,HeaderCol,0),MATCH("Fuel",Header,0))/100*Parameters!$B$24</f>
        <v>1732.5</v>
      </c>
      <c r="L9" s="44">
        <f>(H9+I9)*(1+Parameters!$B$26)^-($A9-1)</f>
        <v>277.36686390532543</v>
      </c>
      <c r="M9" s="44">
        <f>(J9+K9)*(1+Parameters!$B$26)^-($A9-0.5)</f>
        <v>1570.6878889002578</v>
      </c>
      <c r="N9" s="44"/>
      <c r="O9" s="44">
        <f>VLOOKUP(INDEX(CarData,MATCH($N$5,HeaderCol,0),MATCH("Weight",Header,0)),TaxWeight,3,TRUE)</f>
        <v>600</v>
      </c>
      <c r="P9" s="44">
        <f>IF($A9&gt;=Parameters!$B$27,INDEX(CarData,MATCH($N$5,HeaderCol,0),MATCH(P$6,Header,0)),0)</f>
        <v>0</v>
      </c>
      <c r="Q9" s="44">
        <f>Parameters!$B$10*INDEX(CarData,MATCH($N$5,HeaderCol,0),MATCH("Fuel",Header,0))/100*Parameters!$B$24</f>
        <v>1844.9999999999995</v>
      </c>
      <c r="R9" s="44">
        <f>(N9+O9)*(1+Parameters!$B$26)^-($A9-1)</f>
        <v>554.73372781065086</v>
      </c>
      <c r="S9" s="44">
        <f>(P9+Q9)*(1+Parameters!$B$26)^-($A9-0.5)</f>
        <v>1672.6806089587158</v>
      </c>
    </row>
    <row r="10" spans="1:19" x14ac:dyDescent="0.3">
      <c r="A10" s="42">
        <v>4</v>
      </c>
      <c r="B10" s="44"/>
      <c r="C10" s="44">
        <f>VLOOKUP(INDEX(CarData,MATCH($B$5,HeaderCol,0),MATCH("Weight",Header,0)),TaxWeight,3,TRUE)</f>
        <v>300</v>
      </c>
      <c r="D10" s="44">
        <f>IF($A10&gt;=Parameters!$B$27,INDEX(CarData,MATCH($B$5,HeaderCol,0),MATCH(D$6,Header,0)),0)</f>
        <v>250</v>
      </c>
      <c r="E10" s="44">
        <f>Parameters!$B$10*INDEX(CarData,MATCH($B$5,HeaderCol,0),MATCH("Fuel",Header,0))/100*Parameters!$B$24</f>
        <v>1440</v>
      </c>
      <c r="F10" s="44">
        <f>(B10+C10)*(1+Parameters!$B$26)^-($A10-1)</f>
        <v>266.69890760127447</v>
      </c>
      <c r="G10" s="44">
        <f>(D10+E10)*(1+Parameters!$B$26)^-($A10-0.5)</f>
        <v>1473.2281786221754</v>
      </c>
      <c r="H10" s="44"/>
      <c r="I10" s="44">
        <f>VLOOKUP(INDEX(CarData,MATCH($H$5,HeaderCol,0),MATCH("Weight",Header,0)),TaxWeight,3,TRUE)</f>
        <v>300</v>
      </c>
      <c r="J10" s="44">
        <f>IF($A10&gt;=Parameters!$B$27,INDEX(CarData,MATCH($H$5,HeaderCol,0),MATCH(J$6,Header,0)),0)</f>
        <v>300</v>
      </c>
      <c r="K10" s="44">
        <f>Parameters!$B$10*INDEX(CarData,MATCH($H$5,HeaderCol,0),MATCH("Fuel",Header,0))/100*Parameters!$B$24</f>
        <v>1732.5</v>
      </c>
      <c r="L10" s="44">
        <f>(H10+I10)*(1+Parameters!$B$26)^-($A10-1)</f>
        <v>266.69890760127447</v>
      </c>
      <c r="M10" s="44">
        <f>(J10+K10)*(1+Parameters!$B$26)^-($A10-0.5)</f>
        <v>1771.7966112719359</v>
      </c>
      <c r="N10" s="44"/>
      <c r="O10" s="44">
        <f>VLOOKUP(INDEX(CarData,MATCH($N$5,HeaderCol,0),MATCH("Weight",Header,0)),TaxWeight,3,TRUE)</f>
        <v>600</v>
      </c>
      <c r="P10" s="44">
        <f>IF($A10&gt;=Parameters!$B$27,INDEX(CarData,MATCH($N$5,HeaderCol,0),MATCH(P$6,Header,0)),0)</f>
        <v>350</v>
      </c>
      <c r="Q10" s="44">
        <f>Parameters!$B$10*INDEX(CarData,MATCH($N$5,HeaderCol,0),MATCH("Fuel",Header,0))/100*Parameters!$B$24</f>
        <v>1844.9999999999995</v>
      </c>
      <c r="R10" s="44">
        <f>(N10+O10)*(1+Parameters!$B$26)^-($A10-1)</f>
        <v>533.39781520254894</v>
      </c>
      <c r="S10" s="44">
        <f>(P10+Q10)*(1+Parameters!$B$26)^-($A10-0.5)</f>
        <v>1913.4531669086832</v>
      </c>
    </row>
    <row r="11" spans="1:19" x14ac:dyDescent="0.3">
      <c r="A11" s="42">
        <v>5</v>
      </c>
      <c r="B11" s="44"/>
      <c r="C11" s="44">
        <f>VLOOKUP(INDEX(CarData,MATCH($B$5,HeaderCol,0),MATCH("Weight",Header,0)),TaxWeight,3,TRUE)</f>
        <v>300</v>
      </c>
      <c r="D11" s="44">
        <f>IF($A11&gt;=Parameters!$B$27,INDEX(CarData,MATCH($B$5,HeaderCol,0),MATCH(D$6,Header,0)),0)</f>
        <v>250</v>
      </c>
      <c r="E11" s="44">
        <f>Parameters!$B$10*INDEX(CarData,MATCH($B$5,HeaderCol,0),MATCH("Fuel",Header,0))/100*Parameters!$B$24</f>
        <v>1440</v>
      </c>
      <c r="F11" s="44">
        <f>(B11+C11)*(1+Parameters!$B$26)^-($A11-1)</f>
        <v>256.44125730891773</v>
      </c>
      <c r="G11" s="44">
        <f>(D11+E11)*(1+Parameters!$B$26)^-($A11-0.5)</f>
        <v>1416.5655563674763</v>
      </c>
      <c r="H11" s="44"/>
      <c r="I11" s="44">
        <f>VLOOKUP(INDEX(CarData,MATCH($H$5,HeaderCol,0),MATCH("Weight",Header,0)),TaxWeight,3,TRUE)</f>
        <v>300</v>
      </c>
      <c r="J11" s="44">
        <f>IF($A11&gt;=Parameters!$B$27,INDEX(CarData,MATCH($H$5,HeaderCol,0),MATCH(J$6,Header,0)),0)</f>
        <v>300</v>
      </c>
      <c r="K11" s="44">
        <f>Parameters!$B$10*INDEX(CarData,MATCH($H$5,HeaderCol,0),MATCH("Fuel",Header,0))/100*Parameters!$B$24</f>
        <v>1732.5</v>
      </c>
      <c r="L11" s="44">
        <f>(H11+I11)*(1+Parameters!$B$26)^-($A11-1)</f>
        <v>256.44125730891773</v>
      </c>
      <c r="M11" s="44">
        <f>(J11+K11)*(1+Parameters!$B$26)^-($A11-0.5)</f>
        <v>1703.6505877614768</v>
      </c>
      <c r="N11" s="44"/>
      <c r="O11" s="44">
        <f>VLOOKUP(INDEX(CarData,MATCH($N$5,HeaderCol,0),MATCH("Weight",Header,0)),TaxWeight,3,TRUE)</f>
        <v>600</v>
      </c>
      <c r="P11" s="44">
        <f>IF($A11&gt;=Parameters!$B$27,INDEX(CarData,MATCH($N$5,HeaderCol,0),MATCH(P$6,Header,0)),0)</f>
        <v>350</v>
      </c>
      <c r="Q11" s="44">
        <f>Parameters!$B$10*INDEX(CarData,MATCH($N$5,HeaderCol,0),MATCH("Fuel",Header,0))/100*Parameters!$B$24</f>
        <v>1844.9999999999995</v>
      </c>
      <c r="R11" s="44">
        <f>(N11+O11)*(1+Parameters!$B$26)^-($A11-1)</f>
        <v>512.88251461783545</v>
      </c>
      <c r="S11" s="44">
        <f>(P11+Q11)*(1+Parameters!$B$26)^-($A11-0.5)</f>
        <v>1839.8588143352722</v>
      </c>
    </row>
    <row r="12" spans="1:19" x14ac:dyDescent="0.3">
      <c r="A12" s="69"/>
      <c r="B12" s="70"/>
      <c r="C12" s="71"/>
      <c r="D12" s="71"/>
      <c r="E12" s="71"/>
      <c r="F12" s="71"/>
      <c r="G12" s="72"/>
      <c r="H12" s="70"/>
      <c r="I12" s="71"/>
      <c r="J12" s="71"/>
      <c r="K12" s="71"/>
      <c r="L12" s="71"/>
      <c r="M12" s="72"/>
      <c r="N12" s="70"/>
      <c r="O12" s="71"/>
      <c r="P12" s="71"/>
      <c r="Q12" s="71"/>
      <c r="R12" s="71"/>
      <c r="S12" s="72"/>
    </row>
    <row r="13" spans="1:19" x14ac:dyDescent="0.3">
      <c r="A13" s="73" t="s">
        <v>57</v>
      </c>
      <c r="B13" s="74"/>
      <c r="G13" s="75">
        <f>B7</f>
        <v>28450</v>
      </c>
      <c r="H13" s="74"/>
      <c r="M13" s="75">
        <f>H7</f>
        <v>36866</v>
      </c>
      <c r="N13" s="74"/>
      <c r="S13" s="75">
        <f>N7</f>
        <v>65585</v>
      </c>
    </row>
    <row r="14" spans="1:19" ht="31.2" x14ac:dyDescent="0.3">
      <c r="A14" s="76" t="s">
        <v>58</v>
      </c>
      <c r="B14" s="74"/>
      <c r="G14" s="77">
        <f>SUM(F7:G11)</f>
        <v>36804.032381428093</v>
      </c>
      <c r="H14" s="74"/>
      <c r="M14" s="77">
        <f>SUM(L7:M11)</f>
        <v>46633.475080301519</v>
      </c>
      <c r="N14" s="74"/>
      <c r="S14" s="77">
        <f>SUM(R7:S11)</f>
        <v>77337.688904723618</v>
      </c>
    </row>
    <row r="15" spans="1:19" ht="27" customHeight="1" x14ac:dyDescent="0.3">
      <c r="A15" s="76" t="s">
        <v>59</v>
      </c>
      <c r="B15" s="74"/>
      <c r="G15" s="77">
        <f>INDEX(CarData,MATCH($B$5,HeaderCol,0),MATCH("Profit Margin",Header,0))*G13</f>
        <v>1422.5</v>
      </c>
      <c r="H15" s="74"/>
      <c r="M15" s="77">
        <f>INDEX(CarData,MATCH($H$5,HeaderCol,0),MATCH("Profit Margin",Header,0))*M13</f>
        <v>2580.6200000000003</v>
      </c>
      <c r="N15" s="74"/>
      <c r="S15" s="77">
        <f>INDEX(CarData,MATCH($N$5,HeaderCol,0),MATCH("Profit Margin",Header,0))*S13</f>
        <v>7214.35</v>
      </c>
    </row>
    <row r="16" spans="1:19" ht="31.2" x14ac:dyDescent="0.3">
      <c r="A16" s="83" t="s">
        <v>72</v>
      </c>
      <c r="B16" s="78"/>
      <c r="C16" s="79"/>
      <c r="D16" s="79"/>
      <c r="E16" s="79"/>
      <c r="F16" s="79"/>
      <c r="G16" s="80">
        <f>G13-G15</f>
        <v>27027.5</v>
      </c>
      <c r="H16" s="78"/>
      <c r="I16" s="79"/>
      <c r="J16" s="79"/>
      <c r="K16" s="79"/>
      <c r="L16" s="79"/>
      <c r="M16" s="80">
        <f>M13-M15</f>
        <v>34285.379999999997</v>
      </c>
      <c r="N16" s="78"/>
      <c r="O16" s="79"/>
      <c r="P16" s="79"/>
      <c r="Q16" s="79"/>
      <c r="R16" s="79"/>
      <c r="S16" s="80">
        <f>S13-S15</f>
        <v>58370.65</v>
      </c>
    </row>
    <row r="19" spans="1:19" ht="18" x14ac:dyDescent="0.35">
      <c r="B19" s="62" t="s">
        <v>27</v>
      </c>
      <c r="C19" s="63"/>
      <c r="D19" s="63"/>
      <c r="E19" s="63"/>
      <c r="F19" s="63"/>
      <c r="G19" s="41"/>
      <c r="H19" s="62" t="s">
        <v>28</v>
      </c>
      <c r="I19" s="64"/>
      <c r="J19" s="64"/>
      <c r="K19" s="64"/>
      <c r="L19" s="64"/>
      <c r="M19" s="65"/>
      <c r="N19" s="62" t="s">
        <v>29</v>
      </c>
      <c r="O19" s="63"/>
      <c r="P19" s="63"/>
      <c r="Q19" s="63"/>
      <c r="R19" s="63"/>
      <c r="S19" s="41"/>
    </row>
    <row r="20" spans="1:19" ht="31.2" x14ac:dyDescent="0.3">
      <c r="A20" s="66" t="s">
        <v>53</v>
      </c>
      <c r="B20" s="66" t="s">
        <v>15</v>
      </c>
      <c r="C20" s="66" t="s">
        <v>54</v>
      </c>
      <c r="D20" s="67" t="s">
        <v>17</v>
      </c>
      <c r="E20" s="66" t="s">
        <v>60</v>
      </c>
      <c r="F20" s="66" t="s">
        <v>55</v>
      </c>
      <c r="G20" s="66" t="s">
        <v>56</v>
      </c>
      <c r="H20" s="66" t="s">
        <v>15</v>
      </c>
      <c r="I20" s="66" t="s">
        <v>54</v>
      </c>
      <c r="J20" s="67" t="s">
        <v>17</v>
      </c>
      <c r="K20" s="66" t="s">
        <v>60</v>
      </c>
      <c r="L20" s="66" t="s">
        <v>55</v>
      </c>
      <c r="M20" s="66" t="s">
        <v>56</v>
      </c>
      <c r="N20" s="66" t="s">
        <v>15</v>
      </c>
      <c r="O20" s="66" t="s">
        <v>54</v>
      </c>
      <c r="P20" s="67" t="s">
        <v>17</v>
      </c>
      <c r="Q20" s="66" t="s">
        <v>60</v>
      </c>
      <c r="R20" s="66" t="s">
        <v>55</v>
      </c>
      <c r="S20" s="66" t="s">
        <v>56</v>
      </c>
    </row>
    <row r="21" spans="1:19" x14ac:dyDescent="0.3">
      <c r="A21" s="42">
        <v>1</v>
      </c>
      <c r="B21" s="68">
        <f>INDEX(CarData,MATCH($B$19,HeaderCol,0),MATCH(B$20,Header,0))</f>
        <v>39465</v>
      </c>
      <c r="C21" s="44">
        <f>VLOOKUP(INDEX(CarData,MATCH($B$19,HeaderCol,0),MATCH("Weight",Header,0)),TaxWeight,3,TRUE)</f>
        <v>300</v>
      </c>
      <c r="D21" s="44">
        <f>IF($A21&gt;=Parameters!$B$27,INDEX(CarData,MATCH($B$19,HeaderCol,0),MATCH(D$6,Header,0)),0)</f>
        <v>0</v>
      </c>
      <c r="E21" s="44">
        <f>Parameters!$B$10/INDEX(CarData,MATCH($B$19,HeaderCol,0),MATCH("Range",Header,0))*INDEX(CarData,MATCH($B$19,HeaderCol,0),MATCH("Battery capacity",Header,0))*(Parameters!$C$23)</f>
        <v>810.22727272727286</v>
      </c>
      <c r="F21" s="44">
        <f>(B21+C21)*(1+Parameters!$B$26)^-($A21-1)</f>
        <v>39765</v>
      </c>
      <c r="G21" s="44">
        <f>(D21+E21)*(1+Parameters!$B$26)^-($A21-0.5)</f>
        <v>794.49320655412066</v>
      </c>
      <c r="H21" s="68">
        <f>INDEX(CarData,MATCH($H$19,HeaderCol,0),MATCH(H$6,Header,0))</f>
        <v>47825</v>
      </c>
      <c r="I21" s="44">
        <f>VLOOKUP(INDEX(CarData,MATCH($H$19,HeaderCol,0),MATCH("Weight",Header,0)),TaxWeight,3,TRUE)</f>
        <v>600</v>
      </c>
      <c r="J21" s="44">
        <f>IF($A21&gt;=Parameters!$B$27,INDEX(CarData,MATCH($H$19,HeaderCol,0),MATCH(J$6,Header,0)),0)</f>
        <v>0</v>
      </c>
      <c r="K21" s="44">
        <f>Parameters!$B$10/INDEX(CarData,MATCH($H$19,HeaderCol,0),MATCH("Range",Header,0))*INDEX(CarData,MATCH($H$19,HeaderCol,0),MATCH("Battery capacity",Header,0))*Parameters!$C$23</f>
        <v>898.0952380952383</v>
      </c>
      <c r="L21" s="44">
        <f>(H21+I21)*(1+Parameters!$B$26)^-($A21-1)</f>
        <v>48425</v>
      </c>
      <c r="M21" s="44">
        <f>(J21+K21)*(1+Parameters!$B$26)^-($A21-0.5)</f>
        <v>880.65483540622654</v>
      </c>
      <c r="N21" s="68">
        <f>INDEX(CarData,MATCH($N$19,HeaderCol,0),MATCH(N$6,Header,0))</f>
        <v>68834</v>
      </c>
      <c r="O21" s="44">
        <f>VLOOKUP(INDEX(CarData,MATCH($N$19,HeaderCol,0),MATCH("Weight",Header,0)),TaxWeight,3,TRUE)</f>
        <v>1200</v>
      </c>
      <c r="P21" s="44">
        <f>IF($A21&gt;=Parameters!$B$27,INDEX(CarData,MATCH($N$19,HeaderCol,0),MATCH(P$6,Header,0)),0)</f>
        <v>0</v>
      </c>
      <c r="Q21" s="44">
        <f>Parameters!$B$10/INDEX(CarData,MATCH($N$19,HeaderCol,0),MATCH("Range",Header,0))*INDEX(CarData,MATCH($N$19,HeaderCol,0),MATCH("Battery capacity",Header,0))*Parameters!$C$23</f>
        <v>1071.844660194175</v>
      </c>
      <c r="R21" s="44">
        <f>(N21+O21)*(1+Parameters!$B$26)^-($A21-1)</f>
        <v>70034</v>
      </c>
      <c r="S21" s="44">
        <f>(P21+Q21)*(1+Parameters!$B$26)^-($A21-0.5)</f>
        <v>1051.0301611289087</v>
      </c>
    </row>
    <row r="22" spans="1:19" x14ac:dyDescent="0.3">
      <c r="A22" s="42">
        <v>2</v>
      </c>
      <c r="B22" s="44"/>
      <c r="C22" s="44">
        <f>VLOOKUP(INDEX(CarData,MATCH($B$19,HeaderCol,0),MATCH("Weight",Header,0)),TaxWeight,3,TRUE)</f>
        <v>300</v>
      </c>
      <c r="D22" s="44">
        <f>IF($A22&gt;=Parameters!$B$27,INDEX(CarData,MATCH($B$19,HeaderCol,0),MATCH(D$6,Header,0)),0)</f>
        <v>0</v>
      </c>
      <c r="E22" s="44">
        <f>Parameters!$B$10/INDEX(CarData,MATCH($B$19,HeaderCol,0),MATCH("Range",Header,0))*INDEX(CarData,MATCH($B$19,HeaderCol,0),MATCH("Battery capacity",Header,0))*(Parameters!$C$23)</f>
        <v>810.22727272727286</v>
      </c>
      <c r="F22" s="44">
        <f>(B22+C22)*(1+Parameters!$B$26)^-($A22-1)</f>
        <v>288.46153846153845</v>
      </c>
      <c r="G22" s="44">
        <f>(D22+E22)*(1+Parameters!$B$26)^-($A22-0.5)</f>
        <v>763.93577553280829</v>
      </c>
      <c r="H22" s="44"/>
      <c r="I22" s="44">
        <f>VLOOKUP(INDEX(CarData,MATCH($H$19,HeaderCol,0),MATCH("Weight",Header,0)),TaxWeight,3,TRUE)</f>
        <v>600</v>
      </c>
      <c r="J22" s="44">
        <f>IF($A22&gt;=Parameters!$B$27,INDEX(CarData,MATCH($H$19,HeaderCol,0),MATCH(J$6,Header,0)),0)</f>
        <v>0</v>
      </c>
      <c r="K22" s="44">
        <f>Parameters!$B$10/INDEX(CarData,MATCH($H$19,HeaderCol,0),MATCH("Range",Header,0))*INDEX(CarData,MATCH($H$19,HeaderCol,0),MATCH("Battery capacity",Header,0))*Parameters!$C$23</f>
        <v>898.0952380952383</v>
      </c>
      <c r="L22" s="44">
        <f>(H22+I22)*(1+Parameters!$B$26)^-($A22-1)</f>
        <v>576.92307692307691</v>
      </c>
      <c r="M22" s="44">
        <f>(J22+K22)*(1+Parameters!$B$26)^-($A22-0.5)</f>
        <v>846.78349558291006</v>
      </c>
      <c r="N22" s="44"/>
      <c r="O22" s="44">
        <f>VLOOKUP(INDEX(CarData,MATCH($N$19,HeaderCol,0),MATCH("Weight",Header,0)),TaxWeight,3,TRUE)</f>
        <v>1200</v>
      </c>
      <c r="P22" s="44">
        <f>IF($A22&gt;=Parameters!$B$27,INDEX(CarData,MATCH($N$19,HeaderCol,0),MATCH(P$6,Header,0)),0)</f>
        <v>0</v>
      </c>
      <c r="Q22" s="44">
        <f>Parameters!$B$10/INDEX(CarData,MATCH($N$19,HeaderCol,0),MATCH("Range",Header,0))*INDEX(CarData,MATCH($N$19,HeaderCol,0),MATCH("Battery capacity",Header,0))*Parameters!$C$23</f>
        <v>1071.844660194175</v>
      </c>
      <c r="R22" s="44">
        <f>(N22+O22)*(1+Parameters!$B$26)^-($A22-1)</f>
        <v>1153.8461538461538</v>
      </c>
      <c r="S22" s="44">
        <f>(P22+Q22)*(1+Parameters!$B$26)^-($A22-0.5)</f>
        <v>1010.6059241624123</v>
      </c>
    </row>
    <row r="23" spans="1:19" x14ac:dyDescent="0.3">
      <c r="A23" s="42">
        <v>3</v>
      </c>
      <c r="B23" s="44"/>
      <c r="C23" s="44">
        <f>VLOOKUP(INDEX(CarData,MATCH($B$19,HeaderCol,0),MATCH("Weight",Header,0)),TaxWeight,3,TRUE)</f>
        <v>300</v>
      </c>
      <c r="D23" s="44">
        <f>IF($A23&gt;=Parameters!$B$27,INDEX(CarData,MATCH($B$19,HeaderCol,0),MATCH(D$6,Header,0)),0)</f>
        <v>0</v>
      </c>
      <c r="E23" s="44">
        <f>Parameters!$B$10/INDEX(CarData,MATCH($B$19,HeaderCol,0),MATCH("Range",Header,0))*INDEX(CarData,MATCH($B$19,HeaderCol,0),MATCH("Battery capacity",Header,0))*(Parameters!$C$23)</f>
        <v>810.22727272727286</v>
      </c>
      <c r="F23" s="44">
        <f>(B23+C23)*(1+Parameters!$B$26)^-($A23-1)</f>
        <v>277.36686390532543</v>
      </c>
      <c r="G23" s="44">
        <f>(D23+E23)*(1+Parameters!$B$26)^-($A23-0.5)</f>
        <v>734.55363032000787</v>
      </c>
      <c r="H23" s="44"/>
      <c r="I23" s="44">
        <f>VLOOKUP(INDEX(CarData,MATCH($H$19,HeaderCol,0),MATCH("Weight",Header,0)),TaxWeight,3,TRUE)</f>
        <v>600</v>
      </c>
      <c r="J23" s="44">
        <f>IF($A23&gt;=Parameters!$B$27,INDEX(CarData,MATCH($H$19,HeaderCol,0),MATCH(J$6,Header,0)),0)</f>
        <v>0</v>
      </c>
      <c r="K23" s="44">
        <f>Parameters!$B$10/INDEX(CarData,MATCH($H$19,HeaderCol,0),MATCH("Range",Header,0))*INDEX(CarData,MATCH($H$19,HeaderCol,0),MATCH("Battery capacity",Header,0))*Parameters!$C$23</f>
        <v>898.0952380952383</v>
      </c>
      <c r="L23" s="44">
        <f>(H23+I23)*(1+Parameters!$B$26)^-($A23-1)</f>
        <v>554.73372781065086</v>
      </c>
      <c r="M23" s="44">
        <f>(J23+K23)*(1+Parameters!$B$26)^-($A23-0.5)</f>
        <v>814.214899598952</v>
      </c>
      <c r="N23" s="44"/>
      <c r="O23" s="44">
        <f>VLOOKUP(INDEX(CarData,MATCH($N$19,HeaderCol,0),MATCH("Weight",Header,0)),TaxWeight,3,TRUE)</f>
        <v>1200</v>
      </c>
      <c r="P23" s="44">
        <f>IF($A23&gt;=Parameters!$B$27,INDEX(CarData,MATCH($N$19,HeaderCol,0),MATCH(P$6,Header,0)),0)</f>
        <v>0</v>
      </c>
      <c r="Q23" s="44">
        <f>Parameters!$B$10/INDEX(CarData,MATCH($N$19,HeaderCol,0),MATCH("Range",Header,0))*INDEX(CarData,MATCH($N$19,HeaderCol,0),MATCH("Battery capacity",Header,0))*Parameters!$C$23</f>
        <v>1071.844660194175</v>
      </c>
      <c r="R23" s="44">
        <f>(N23+O23)*(1+Parameters!$B$26)^-($A23-1)</f>
        <v>1109.4674556213017</v>
      </c>
      <c r="S23" s="44">
        <f>(P23+Q23)*(1+Parameters!$B$26)^-($A23-0.5)</f>
        <v>971.73646554078096</v>
      </c>
    </row>
    <row r="24" spans="1:19" x14ac:dyDescent="0.3">
      <c r="A24" s="42">
        <v>4</v>
      </c>
      <c r="B24" s="44"/>
      <c r="C24" s="44">
        <f>VLOOKUP(INDEX(CarData,MATCH($B$19,HeaderCol,0),MATCH("Weight",Header,0)),TaxWeight,3,TRUE)</f>
        <v>300</v>
      </c>
      <c r="D24" s="44">
        <f>IF($A24&gt;=Parameters!$B$27,INDEX(CarData,MATCH($B$19,HeaderCol,0),MATCH(D$6,Header,0)),0)</f>
        <v>100</v>
      </c>
      <c r="E24" s="44">
        <f>Parameters!$B$10/INDEX(CarData,MATCH($B$19,HeaderCol,0),MATCH("Range",Header,0))*INDEX(CarData,MATCH($B$19,HeaderCol,0),MATCH("Battery capacity",Header,0))*(Parameters!$C$23)</f>
        <v>810.22727272727286</v>
      </c>
      <c r="F24" s="44">
        <f>(B24+C24)*(1+Parameters!$B$26)^-($A24-1)</f>
        <v>266.69890760127447</v>
      </c>
      <c r="G24" s="44">
        <f>(D24+E24)*(1+Parameters!$B$26)^-($A24-0.5)</f>
        <v>793.47483262262153</v>
      </c>
      <c r="H24" s="44"/>
      <c r="I24" s="44">
        <f>VLOOKUP(INDEX(CarData,MATCH($H$19,HeaderCol,0),MATCH("Weight",Header,0)),TaxWeight,3,TRUE)</f>
        <v>600</v>
      </c>
      <c r="J24" s="44">
        <f>IF($A24&gt;=Parameters!$B$27,INDEX(CarData,MATCH($H$19,HeaderCol,0),MATCH(J$6,Header,0)),0)</f>
        <v>150</v>
      </c>
      <c r="K24" s="44">
        <f>Parameters!$B$10/INDEX(CarData,MATCH($H$19,HeaderCol,0),MATCH("Range",Header,0))*INDEX(CarData,MATCH($H$19,HeaderCol,0),MATCH("Battery capacity",Header,0))*Parameters!$C$23</f>
        <v>898.0952380952383</v>
      </c>
      <c r="L24" s="44">
        <f>(H24+I24)*(1+Parameters!$B$26)^-($A24-1)</f>
        <v>533.39781520254894</v>
      </c>
      <c r="M24" s="44">
        <f>(J24+K24)*(1+Parameters!$B$26)^-($A24-0.5)</f>
        <v>913.65883943291317</v>
      </c>
      <c r="N24" s="44"/>
      <c r="O24" s="44">
        <f>VLOOKUP(INDEX(CarData,MATCH($N$19,HeaderCol,0),MATCH("Weight",Header,0)),TaxWeight,3,TRUE)</f>
        <v>1200</v>
      </c>
      <c r="P24" s="44">
        <f>IF($A24&gt;=Parameters!$B$27,INDEX(CarData,MATCH($N$19,HeaderCol,0),MATCH(P$6,Header,0)),0)</f>
        <v>180</v>
      </c>
      <c r="Q24" s="44">
        <f>Parameters!$B$10/INDEX(CarData,MATCH($N$19,HeaderCol,0),MATCH("Range",Header,0))*INDEX(CarData,MATCH($N$19,HeaderCol,0),MATCH("Battery capacity",Header,0))*Parameters!$C$23</f>
        <v>1071.844660194175</v>
      </c>
      <c r="R24" s="44">
        <f>(N24+O24)*(1+Parameters!$B$26)^-($A24-1)</f>
        <v>1066.7956304050979</v>
      </c>
      <c r="S24" s="44">
        <f>(P24+Q24)*(1+Parameters!$B$26)^-($A24-0.5)</f>
        <v>1091.2738631099176</v>
      </c>
    </row>
    <row r="25" spans="1:19" x14ac:dyDescent="0.3">
      <c r="A25" s="42">
        <v>5</v>
      </c>
      <c r="B25" s="44"/>
      <c r="C25" s="44">
        <f>VLOOKUP(INDEX(CarData,MATCH($B$19,HeaderCol,0),MATCH("Weight",Header,0)),TaxWeight,3,TRUE)</f>
        <v>300</v>
      </c>
      <c r="D25" s="44">
        <f>IF($A25&gt;=Parameters!$B$27,INDEX(CarData,MATCH($B$19,HeaderCol,0),MATCH(D$6,Header,0)),0)</f>
        <v>100</v>
      </c>
      <c r="E25" s="44">
        <f>Parameters!$B$10/INDEX(CarData,MATCH($B$19,HeaderCol,0),MATCH("Range",Header,0))*INDEX(CarData,MATCH($B$19,HeaderCol,0),MATCH("Battery capacity",Header,0))*(Parameters!$C$23)</f>
        <v>810.22727272727286</v>
      </c>
      <c r="F25" s="44">
        <f>(B25+C25)*(1+Parameters!$B$26)^-($A25-1)</f>
        <v>256.44125730891773</v>
      </c>
      <c r="G25" s="44">
        <f>(D25+E25)*(1+Parameters!$B$26)^-($A25-0.5)</f>
        <v>762.95656982944377</v>
      </c>
      <c r="H25" s="44"/>
      <c r="I25" s="44">
        <f>VLOOKUP(INDEX(CarData,MATCH($H$19,HeaderCol,0),MATCH("Weight",Header,0)),TaxWeight,3,TRUE)</f>
        <v>600</v>
      </c>
      <c r="J25" s="44">
        <f>IF($A25&gt;=Parameters!$B$27,INDEX(CarData,MATCH($H$19,HeaderCol,0),MATCH(J$6,Header,0)),0)</f>
        <v>150</v>
      </c>
      <c r="K25" s="44">
        <f>Parameters!$B$10/INDEX(CarData,MATCH($H$19,HeaderCol,0),MATCH("Range",Header,0))*INDEX(CarData,MATCH($H$19,HeaderCol,0),MATCH("Battery capacity",Header,0))*Parameters!$C$23</f>
        <v>898.0952380952383</v>
      </c>
      <c r="L25" s="44">
        <f>(H25+I25)*(1+Parameters!$B$26)^-($A25-1)</f>
        <v>512.88251461783545</v>
      </c>
      <c r="M25" s="44">
        <f>(J25+K25)*(1+Parameters!$B$26)^-($A25-0.5)</f>
        <v>878.51811483933955</v>
      </c>
      <c r="N25" s="44"/>
      <c r="O25" s="44">
        <f>VLOOKUP(INDEX(CarData,MATCH($N$19,HeaderCol,0),MATCH("Weight",Header,0)),TaxWeight,3,TRUE)</f>
        <v>1200</v>
      </c>
      <c r="P25" s="44">
        <f>IF($A25&gt;=Parameters!$B$27,INDEX(CarData,MATCH($N$19,HeaderCol,0),MATCH(P$6,Header,0)),0)</f>
        <v>180</v>
      </c>
      <c r="Q25" s="44">
        <f>Parameters!$B$10/INDEX(CarData,MATCH($N$19,HeaderCol,0),MATCH("Range",Header,0))*INDEX(CarData,MATCH($N$19,HeaderCol,0),MATCH("Battery capacity",Header,0))*Parameters!$C$23</f>
        <v>1071.844660194175</v>
      </c>
      <c r="R25" s="44">
        <f>(N25+O25)*(1+Parameters!$B$26)^-($A25-1)</f>
        <v>1025.7650292356709</v>
      </c>
      <c r="S25" s="44">
        <f>(P25+Q25)*(1+Parameters!$B$26)^-($A25-0.5)</f>
        <v>1049.3017914518439</v>
      </c>
    </row>
    <row r="26" spans="1:19" x14ac:dyDescent="0.3">
      <c r="A26" s="69"/>
      <c r="B26" s="70"/>
      <c r="C26" s="71"/>
      <c r="D26" s="71"/>
      <c r="E26" s="71"/>
      <c r="F26" s="71"/>
      <c r="G26" s="72"/>
      <c r="H26" s="70"/>
      <c r="I26" s="71"/>
      <c r="J26" s="71"/>
      <c r="K26" s="71"/>
      <c r="L26" s="71"/>
      <c r="M26" s="72"/>
      <c r="N26" s="70"/>
      <c r="O26" s="71"/>
      <c r="P26" s="71"/>
      <c r="Q26" s="71"/>
      <c r="R26" s="71"/>
      <c r="S26" s="72"/>
    </row>
    <row r="27" spans="1:19" x14ac:dyDescent="0.3">
      <c r="A27" s="73" t="s">
        <v>57</v>
      </c>
      <c r="B27" s="74"/>
      <c r="G27" s="75">
        <f>B21</f>
        <v>39465</v>
      </c>
      <c r="H27" s="74"/>
      <c r="M27" s="75">
        <f>H21</f>
        <v>47825</v>
      </c>
      <c r="N27" s="74"/>
      <c r="S27" s="75">
        <f>N21</f>
        <v>68834</v>
      </c>
    </row>
    <row r="28" spans="1:19" ht="31.2" x14ac:dyDescent="0.3">
      <c r="A28" s="76" t="s">
        <v>58</v>
      </c>
      <c r="B28" s="74"/>
      <c r="G28" s="77">
        <f>SUM(F21:G25)</f>
        <v>44703.382582136066</v>
      </c>
      <c r="H28" s="74"/>
      <c r="M28" s="77">
        <f>SUM(L21:M25)</f>
        <v>54936.767319414459</v>
      </c>
      <c r="N28" s="74"/>
      <c r="S28" s="77">
        <f>SUM(R21:S25)</f>
        <v>79563.8224745021</v>
      </c>
    </row>
    <row r="29" spans="1:19" x14ac:dyDescent="0.3">
      <c r="A29" s="76" t="s">
        <v>59</v>
      </c>
      <c r="B29" s="74"/>
      <c r="G29" s="77">
        <f>INDEX(CarData,MATCH($B$19,HeaderCol,0),MATCH("Profit Margin",Header,0))*G27</f>
        <v>4341.1499999999996</v>
      </c>
      <c r="H29" s="74"/>
      <c r="M29" s="77">
        <f>INDEX(CarData,MATCH($H$19,HeaderCol,0),MATCH("Profit Margin",Header,0))*M27</f>
        <v>6695.5000000000009</v>
      </c>
      <c r="N29" s="74"/>
      <c r="S29" s="77">
        <f>INDEX(CarData,MATCH($N$19,HeaderCol,0),MATCH("Profit Margin",Header,0))*S27</f>
        <v>12390.119999999999</v>
      </c>
    </row>
    <row r="30" spans="1:19" ht="31.2" x14ac:dyDescent="0.3">
      <c r="A30" s="83" t="s">
        <v>72</v>
      </c>
      <c r="B30" s="78"/>
      <c r="C30" s="79"/>
      <c r="D30" s="79"/>
      <c r="E30" s="79"/>
      <c r="F30" s="79"/>
      <c r="G30" s="80">
        <f>G27-G29</f>
        <v>35123.85</v>
      </c>
      <c r="H30" s="78"/>
      <c r="I30" s="79"/>
      <c r="J30" s="79"/>
      <c r="K30" s="79"/>
      <c r="L30" s="79"/>
      <c r="M30" s="80">
        <f>M27-M29</f>
        <v>41129.5</v>
      </c>
      <c r="N30" s="78"/>
      <c r="O30" s="79"/>
      <c r="P30" s="79"/>
      <c r="Q30" s="79"/>
      <c r="R30" s="79"/>
      <c r="S30" s="80">
        <f>S27-S29</f>
        <v>56443.880000000005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ColWidth="11.19921875" defaultRowHeight="15.6" x14ac:dyDescent="0.3"/>
  <cols>
    <col min="1" max="1" width="23.69921875" customWidth="1"/>
    <col min="2" max="2" width="11.19921875" bestFit="1" customWidth="1"/>
    <col min="3" max="3" width="14.19921875" bestFit="1" customWidth="1"/>
    <col min="4" max="4" width="16.19921875" bestFit="1" customWidth="1"/>
    <col min="5" max="5" width="16.296875" bestFit="1" customWidth="1"/>
    <col min="6" max="6" width="15" bestFit="1" customWidth="1"/>
  </cols>
  <sheetData>
    <row r="1" spans="1:7" ht="18" x14ac:dyDescent="0.35">
      <c r="A1" s="1" t="s">
        <v>61</v>
      </c>
    </row>
    <row r="3" spans="1:7" ht="31.2" x14ac:dyDescent="0.3">
      <c r="B3" s="2" t="s">
        <v>62</v>
      </c>
      <c r="C3" s="2" t="s">
        <v>59</v>
      </c>
      <c r="D3" s="2" t="s">
        <v>63</v>
      </c>
      <c r="E3" s="2" t="s">
        <v>64</v>
      </c>
      <c r="F3" s="81" t="s">
        <v>72</v>
      </c>
      <c r="G3" s="2"/>
    </row>
    <row r="4" spans="1:7" x14ac:dyDescent="0.3">
      <c r="A4" t="s">
        <v>24</v>
      </c>
      <c r="B4" s="10">
        <f>INDEX(Data!N:N,MATCH($A4,Data!A:A,0))</f>
        <v>25567</v>
      </c>
      <c r="C4" s="10">
        <f>$B4*'Calculations-Weight'!G15</f>
        <v>36369057.5</v>
      </c>
      <c r="D4" s="10">
        <f>$B4*'Calculations-Weight'!G13</f>
        <v>727381150</v>
      </c>
      <c r="E4" s="10">
        <f>$B4*'Calculations-Weight'!G14</f>
        <v>940968695.89597201</v>
      </c>
      <c r="F4" s="84">
        <f>$B4*'Calculations-Weight'!$G16</f>
        <v>691012092.5</v>
      </c>
      <c r="G4" s="82"/>
    </row>
    <row r="5" spans="1:7" x14ac:dyDescent="0.3">
      <c r="A5" t="s">
        <v>25</v>
      </c>
      <c r="B5" s="10">
        <f>INDEX(Data!N:N,MATCH($A5,Data!A:A,0))</f>
        <v>1893</v>
      </c>
      <c r="C5" s="10">
        <f>$B5*'Calculations-Weight'!M15</f>
        <v>4885113.6600000011</v>
      </c>
      <c r="D5" s="10">
        <f>$B5*'Calculations-Weight'!M13</f>
        <v>69787338</v>
      </c>
      <c r="E5" s="10">
        <f>$B5*'Calculations-Weight'!M14</f>
        <v>88277168.327010781</v>
      </c>
      <c r="F5" s="84">
        <f>$B5*'Calculations-Weight'!$M16</f>
        <v>64902224.339999996</v>
      </c>
    </row>
    <row r="6" spans="1:7" x14ac:dyDescent="0.3">
      <c r="A6" t="s">
        <v>26</v>
      </c>
      <c r="B6" s="10">
        <f>INDEX(Data!N:N,MATCH($A6,Data!A:A,0))</f>
        <v>1836</v>
      </c>
      <c r="C6" s="10">
        <f>$B6*'Calculations-Weight'!S15</f>
        <v>13245546.600000001</v>
      </c>
      <c r="D6" s="10">
        <f>$B6*'Calculations-Weight'!S13</f>
        <v>120414060</v>
      </c>
      <c r="E6" s="10">
        <f>$B6*'Calculations-Weight'!S14</f>
        <v>141991996.82907256</v>
      </c>
      <c r="F6" s="84">
        <f>$B6*'Calculations-Weight'!S16</f>
        <v>107168513.40000001</v>
      </c>
    </row>
    <row r="7" spans="1:7" x14ac:dyDescent="0.3">
      <c r="A7" t="s">
        <v>27</v>
      </c>
      <c r="B7" s="10">
        <f>INDEX(Data!N:N,MATCH($A7,Data!A:A,0))</f>
        <v>11146</v>
      </c>
      <c r="C7" s="10">
        <f>$B7*'Calculations-Weight'!G29</f>
        <v>48386457.899999999</v>
      </c>
      <c r="D7" s="10">
        <f>$B7*'Calculations-Weight'!G27</f>
        <v>439876890</v>
      </c>
      <c r="E7" s="10">
        <f>$B7*'Calculations-Weight'!G28</f>
        <v>498263902.26048857</v>
      </c>
      <c r="F7" s="84">
        <f>$B7*'Calculations-Weight'!$G30</f>
        <v>391490432.09999996</v>
      </c>
    </row>
    <row r="8" spans="1:7" x14ac:dyDescent="0.3">
      <c r="A8" t="s">
        <v>28</v>
      </c>
      <c r="B8" s="10">
        <f>INDEX(Data!N:N,MATCH($A8,Data!A:A,0))</f>
        <v>6291</v>
      </c>
      <c r="C8" s="10">
        <f>$B8*'Calculations-Weight'!M29</f>
        <v>42121390.500000007</v>
      </c>
      <c r="D8" s="10">
        <f>$B8*'Calculations-Weight'!M27</f>
        <v>300867075</v>
      </c>
      <c r="E8" s="10">
        <f>$B8*'Calculations-Weight'!M28</f>
        <v>345607203.20643634</v>
      </c>
      <c r="F8" s="84">
        <f>$B8*'Calculations-Weight'!$M30</f>
        <v>258745684.5</v>
      </c>
    </row>
    <row r="9" spans="1:7" x14ac:dyDescent="0.3">
      <c r="A9" t="s">
        <v>29</v>
      </c>
      <c r="B9" s="10">
        <f>INDEX(Data!N:N,MATCH($A9,Data!A:A,0))</f>
        <v>3848</v>
      </c>
      <c r="C9" s="10">
        <f>$B9*'Calculations-Weight'!S29</f>
        <v>47677181.759999998</v>
      </c>
      <c r="D9" s="10">
        <f>$B9*'Calculations-Weight'!S27</f>
        <v>264873232</v>
      </c>
      <c r="E9" s="10">
        <f>$B9*'Calculations-Weight'!S28</f>
        <v>306161588.8818841</v>
      </c>
      <c r="F9" s="84">
        <f>$B9*'Calculations-Weight'!$S30</f>
        <v>217196050.24000001</v>
      </c>
    </row>
    <row r="10" spans="1:7" x14ac:dyDescent="0.3">
      <c r="B10" s="10"/>
      <c r="C10" s="10"/>
      <c r="D10" s="10"/>
      <c r="E10" s="10"/>
    </row>
    <row r="11" spans="1:7" x14ac:dyDescent="0.3">
      <c r="A11" t="s">
        <v>50</v>
      </c>
      <c r="B11" s="10">
        <f>SUM(B4:B10)</f>
        <v>50581</v>
      </c>
      <c r="C11" s="10">
        <f>SUM(C4:C10)</f>
        <v>192684747.91999999</v>
      </c>
      <c r="D11" s="10">
        <f>SUM(D4:D10)</f>
        <v>1923199745</v>
      </c>
      <c r="E11" s="10">
        <f>SUM(E4:E10)</f>
        <v>2321270555.4008646</v>
      </c>
      <c r="F11" s="10">
        <f>SUM(F4:F10)</f>
        <v>1730514997.0799999</v>
      </c>
    </row>
    <row r="13" spans="1:7" x14ac:dyDescent="0.3">
      <c r="A13" t="s">
        <v>71</v>
      </c>
      <c r="B13" t="str">
        <f>IF(B11='Total profit-Base'!B11,"OK","Check")</f>
        <v>OK</v>
      </c>
      <c r="C13" t="str">
        <f>IF(C11='Total profit-Base'!C11,"OK","Check")</f>
        <v>OK</v>
      </c>
      <c r="D13" t="str">
        <f>IF(D11='Total profit-Base'!D11,"OK","Check")</f>
        <v>OK</v>
      </c>
      <c r="F13" t="str">
        <f>IF(F11='Total profit-Base'!F11,"OK","Check")</f>
        <v>OK</v>
      </c>
    </row>
  </sheetData>
  <printOptions gridLines="1" gridLinesSet="0"/>
  <pageMargins left="0.7" right="0.7" top="0.75" bottom="0.75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D9C61EE295C745954A9A57CAD308C5" ma:contentTypeVersion="3" ma:contentTypeDescription="Create a new document." ma:contentTypeScope="" ma:versionID="35c97fe4e5e0abd9599746097dedcf06">
  <xsd:schema xmlns:xsd="http://www.w3.org/2001/XMLSchema" xmlns:xs="http://www.w3.org/2001/XMLSchema" xmlns:p="http://schemas.microsoft.com/office/2006/metadata/properties" xmlns:ns2="b097b69d-e9db-488a-8399-b58d114c2c0f" targetNamespace="http://schemas.microsoft.com/office/2006/metadata/properties" ma:root="true" ma:fieldsID="bf98e6642e99d67e5a4a5edd7e7425b1" ns2:_="">
    <xsd:import namespace="b097b69d-e9db-488a-8399-b58d114c2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7b69d-e9db-488a-8399-b58d114c2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60CFBA-3DC9-4284-8D7A-7E9F1655ABB8}"/>
</file>

<file path=customXml/itemProps2.xml><?xml version="1.0" encoding="utf-8"?>
<ds:datastoreItem xmlns:ds="http://schemas.openxmlformats.org/officeDocument/2006/customXml" ds:itemID="{32C55307-448A-4EAE-9F4A-BF86FDAB350E}"/>
</file>

<file path=customXml/itemProps3.xml><?xml version="1.0" encoding="utf-8"?>
<ds:datastoreItem xmlns:ds="http://schemas.openxmlformats.org/officeDocument/2006/customXml" ds:itemID="{3A4E2928-DCED-47DC-B726-5CEAB9143D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Parameters</vt:lpstr>
      <vt:lpstr>Data</vt:lpstr>
      <vt:lpstr>Calculations-Base</vt:lpstr>
      <vt:lpstr>Total profit-Base</vt:lpstr>
      <vt:lpstr>Calculations-Weight</vt:lpstr>
      <vt:lpstr>Total profit-Weight</vt:lpstr>
      <vt:lpstr>CarData</vt:lpstr>
      <vt:lpstr>Header</vt:lpstr>
      <vt:lpstr>HeaderCol</vt:lpstr>
      <vt:lpstr>TaxCO2</vt:lpstr>
      <vt:lpstr>TaxWeight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2025-02-12T18:51:40Z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2025-02-12T18:41:54Z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bd1ba931-df1a-4515-91d4-cc9eab9540ec</vt:lpwstr>
  </property>
  <property fmtid="{D5CDD505-2E9C-101B-9397-08002B2CF9AE}" pid="8" name="MSIP_Label_d347b247-e90e-43a3-9d7b-004f14ae6873_ContentBits">
    <vt:lpwstr>0</vt:lpwstr>
  </property>
  <property fmtid="{D5CDD505-2E9C-101B-9397-08002B2CF9AE}" pid="9" name="ContentTypeId">
    <vt:lpwstr>0x01010079D9C61EE295C745954A9A57CAD308C5</vt:lpwstr>
  </property>
</Properties>
</file>