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mal-popat\Downloads\Exams\Exams\"/>
    </mc:Choice>
  </mc:AlternateContent>
  <bookViews>
    <workbookView xWindow="480" yWindow="36" windowWidth="18108" windowHeight="12360"/>
  </bookViews>
  <sheets>
    <sheet name="Q1" sheetId="1" r:id="rId1"/>
  </sheets>
  <calcPr calcId="162913"/>
</workbook>
</file>

<file path=xl/calcChain.xml><?xml version="1.0" encoding="utf-8"?>
<calcChain xmlns="http://schemas.openxmlformats.org/spreadsheetml/2006/main">
  <c r="H9" i="1" l="1"/>
  <c r="G9" i="1"/>
  <c r="G5" i="1"/>
  <c r="H5" i="1"/>
  <c r="G8" i="1"/>
  <c r="H8" i="1"/>
  <c r="G7" i="1"/>
  <c r="H7" i="1"/>
  <c r="I8" i="1" l="1"/>
  <c r="I7" i="1"/>
  <c r="I9" i="1"/>
  <c r="I5" i="1"/>
  <c r="J8" i="1" s="1"/>
  <c r="J7" i="1" l="1"/>
  <c r="J9" i="1"/>
</calcChain>
</file>

<file path=xl/sharedStrings.xml><?xml version="1.0" encoding="utf-8"?>
<sst xmlns="http://schemas.openxmlformats.org/spreadsheetml/2006/main" count="24" uniqueCount="20">
  <si>
    <t>Year 1</t>
  </si>
  <si>
    <t>Year 2</t>
  </si>
  <si>
    <t>Benchmark asset allocation:</t>
  </si>
  <si>
    <t>Equities</t>
  </si>
  <si>
    <t>Bonds</t>
  </si>
  <si>
    <t>Actual asset allocation of fund:</t>
  </si>
  <si>
    <t>Investment returns:</t>
  </si>
  <si>
    <t>Average return for similar funds</t>
  </si>
  <si>
    <t>Equity index return</t>
  </si>
  <si>
    <t>Bond index return</t>
  </si>
  <si>
    <t>Equity return in fund</t>
  </si>
  <si>
    <t>Bond return in fund</t>
  </si>
  <si>
    <t>Question</t>
  </si>
  <si>
    <t>Answer</t>
  </si>
  <si>
    <t>Total</t>
  </si>
  <si>
    <t>Index</t>
  </si>
  <si>
    <t>Actual</t>
  </si>
  <si>
    <t>Median</t>
  </si>
  <si>
    <t>Benchmark</t>
  </si>
  <si>
    <t>Actual-Expected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</si>
</sst>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0.0%"/>
  </numFmts>
  <fonts count="4" x14ac:knownFonts="1">
    <font>
      <sz val="12"/>
      <name val="Times New Roman"/>
      <family val="1"/>
    </font>
    <font>
      <sz val="8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10" fontId="3" fillId="0" borderId="0" xfId="0" applyNumberFormat="1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0" fontId="3" fillId="0" borderId="0" xfId="0" applyNumberFormat="1" applyFont="1" applyBorder="1" applyAlignment="1">
      <alignment horizontal="center" vertical="top" wrapText="1"/>
    </xf>
    <xf numFmtId="10" fontId="3" fillId="0" borderId="0" xfId="0" applyNumberFormat="1" applyFont="1" applyFill="1" applyBorder="1" applyAlignment="1">
      <alignment horizontal="center" vertical="top" wrapText="1"/>
    </xf>
    <xf numFmtId="9" fontId="3" fillId="0" borderId="0" xfId="0" applyNumberFormat="1" applyFont="1" applyBorder="1" applyAlignment="1">
      <alignment horizontal="center" vertical="top" wrapText="1"/>
    </xf>
    <xf numFmtId="0" fontId="3" fillId="0" borderId="0" xfId="0" applyFont="1" applyFill="1" applyBorder="1"/>
    <xf numFmtId="169" fontId="3" fillId="0" borderId="0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7"/>
  <sheetViews>
    <sheetView tabSelected="1" workbookViewId="0">
      <selection activeCell="C13" sqref="C13:D17"/>
    </sheetView>
  </sheetViews>
  <sheetFormatPr defaultColWidth="9" defaultRowHeight="13.8" x14ac:dyDescent="0.25"/>
  <cols>
    <col min="1" max="1" width="9" style="2"/>
    <col min="2" max="2" width="30.69921875" style="2" customWidth="1"/>
    <col min="3" max="5" width="9" style="2"/>
    <col min="6" max="6" width="10.3984375" style="2" customWidth="1"/>
    <col min="7" max="9" width="9" style="3"/>
    <col min="10" max="10" width="16" style="2" customWidth="1"/>
    <col min="11" max="16384" width="9" style="2"/>
  </cols>
  <sheetData>
    <row r="1" spans="2:10" x14ac:dyDescent="0.25">
      <c r="B1" s="1" t="s">
        <v>12</v>
      </c>
      <c r="F1" s="1" t="s">
        <v>13</v>
      </c>
    </row>
    <row r="2" spans="2:10" x14ac:dyDescent="0.25">
      <c r="B2" s="1"/>
    </row>
    <row r="3" spans="2:10" x14ac:dyDescent="0.25">
      <c r="B3" s="4"/>
      <c r="C3" s="5" t="s">
        <v>0</v>
      </c>
      <c r="D3" s="5" t="s">
        <v>1</v>
      </c>
      <c r="G3" s="6" t="s">
        <v>0</v>
      </c>
      <c r="H3" s="6" t="s">
        <v>1</v>
      </c>
      <c r="I3" s="7" t="s">
        <v>14</v>
      </c>
      <c r="J3" s="7" t="s">
        <v>19</v>
      </c>
    </row>
    <row r="4" spans="2:10" x14ac:dyDescent="0.25">
      <c r="B4" s="4" t="s">
        <v>2</v>
      </c>
      <c r="C4" s="5"/>
      <c r="D4" s="5"/>
    </row>
    <row r="5" spans="2:10" x14ac:dyDescent="0.25">
      <c r="B5" s="4" t="s">
        <v>3</v>
      </c>
      <c r="C5" s="8">
        <v>0.6</v>
      </c>
      <c r="D5" s="8">
        <v>0.4</v>
      </c>
      <c r="F5" s="2" t="s">
        <v>16</v>
      </c>
      <c r="G5" s="3">
        <f>C9*C16+C10*C17</f>
        <v>6.5000000000000002E-2</v>
      </c>
      <c r="H5" s="3">
        <f>D9*D16+D10*D17</f>
        <v>6.25E-2</v>
      </c>
      <c r="I5" s="3">
        <f>(1+G5)*(1+H5)-1</f>
        <v>0.13156250000000003</v>
      </c>
    </row>
    <row r="6" spans="2:10" x14ac:dyDescent="0.25">
      <c r="B6" s="4" t="s">
        <v>4</v>
      </c>
      <c r="C6" s="8">
        <v>0.4</v>
      </c>
      <c r="D6" s="8">
        <v>0.6</v>
      </c>
    </row>
    <row r="7" spans="2:10" x14ac:dyDescent="0.25">
      <c r="B7" s="4"/>
      <c r="C7" s="5"/>
      <c r="D7" s="5"/>
      <c r="F7" s="2" t="s">
        <v>15</v>
      </c>
      <c r="G7" s="3">
        <f>C9*C14+C10*C15</f>
        <v>6.5000000000000002E-2</v>
      </c>
      <c r="H7" s="3">
        <f>D9*D14+D10*D15</f>
        <v>0.06</v>
      </c>
      <c r="I7" s="3">
        <f>(1+G7)*(1+H7)-1</f>
        <v>0.12890000000000001</v>
      </c>
      <c r="J7" s="3">
        <f>$I$5-I7</f>
        <v>2.6625000000000121E-3</v>
      </c>
    </row>
    <row r="8" spans="2:10" x14ac:dyDescent="0.25">
      <c r="B8" s="4" t="s">
        <v>5</v>
      </c>
      <c r="C8" s="5"/>
      <c r="D8" s="5"/>
      <c r="F8" s="2" t="s">
        <v>17</v>
      </c>
      <c r="G8" s="3">
        <f>C13</f>
        <v>0.06</v>
      </c>
      <c r="H8" s="3">
        <f>D13</f>
        <v>5.5E-2</v>
      </c>
      <c r="I8" s="3">
        <f>(1+G8)*(1+H8)-1</f>
        <v>0.11830000000000007</v>
      </c>
      <c r="J8" s="3">
        <f>$I$5-I8</f>
        <v>1.3262499999999955E-2</v>
      </c>
    </row>
    <row r="9" spans="2:10" x14ac:dyDescent="0.25">
      <c r="B9" s="4" t="s">
        <v>3</v>
      </c>
      <c r="C9" s="8">
        <v>0.5</v>
      </c>
      <c r="D9" s="8">
        <v>0.5</v>
      </c>
      <c r="F9" s="9" t="s">
        <v>18</v>
      </c>
      <c r="G9" s="3">
        <f>C5*C14+C6*C15</f>
        <v>7.1999999999999995E-2</v>
      </c>
      <c r="H9" s="3">
        <f>D5*D14+D6*D15</f>
        <v>5.6000000000000001E-2</v>
      </c>
      <c r="I9" s="3">
        <f>(1+G9)*(1+H9)-1</f>
        <v>0.13203200000000015</v>
      </c>
      <c r="J9" s="3">
        <f>$I$5-I9</f>
        <v>-4.695000000001226E-4</v>
      </c>
    </row>
    <row r="10" spans="2:10" x14ac:dyDescent="0.25">
      <c r="B10" s="4" t="s">
        <v>4</v>
      </c>
      <c r="C10" s="8">
        <v>0.5</v>
      </c>
      <c r="D10" s="8">
        <v>0.5</v>
      </c>
    </row>
    <row r="11" spans="2:10" x14ac:dyDescent="0.25">
      <c r="B11" s="4"/>
      <c r="C11" s="5"/>
      <c r="D11" s="5"/>
    </row>
    <row r="12" spans="2:10" x14ac:dyDescent="0.25">
      <c r="B12" s="4" t="s">
        <v>6</v>
      </c>
      <c r="C12" s="5"/>
      <c r="D12" s="5"/>
    </row>
    <row r="13" spans="2:10" x14ac:dyDescent="0.25">
      <c r="B13" s="4" t="s">
        <v>7</v>
      </c>
      <c r="C13" s="10">
        <v>0.06</v>
      </c>
      <c r="D13" s="10">
        <v>5.5E-2</v>
      </c>
    </row>
    <row r="14" spans="2:10" x14ac:dyDescent="0.25">
      <c r="B14" s="4" t="s">
        <v>8</v>
      </c>
      <c r="C14" s="10">
        <v>0.1</v>
      </c>
      <c r="D14" s="10">
        <v>0.08</v>
      </c>
    </row>
    <row r="15" spans="2:10" x14ac:dyDescent="0.25">
      <c r="B15" s="4" t="s">
        <v>9</v>
      </c>
      <c r="C15" s="10">
        <v>0.03</v>
      </c>
      <c r="D15" s="10">
        <v>0.04</v>
      </c>
    </row>
    <row r="16" spans="2:10" x14ac:dyDescent="0.25">
      <c r="B16" s="4" t="s">
        <v>10</v>
      </c>
      <c r="C16" s="10">
        <v>9.5000000000000001E-2</v>
      </c>
      <c r="D16" s="10">
        <v>0.09</v>
      </c>
    </row>
    <row r="17" spans="2:4" x14ac:dyDescent="0.25">
      <c r="B17" s="4" t="s">
        <v>11</v>
      </c>
      <c r="C17" s="10">
        <v>3.5000000000000003E-2</v>
      </c>
      <c r="D17" s="10">
        <v>3.5000000000000003E-2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Popat</dc:creator>
  <cp:lastModifiedBy>Popat, Hemal</cp:lastModifiedBy>
  <dcterms:created xsi:type="dcterms:W3CDTF">2003-09-06T11:25:51Z</dcterms:created>
  <dcterms:modified xsi:type="dcterms:W3CDTF">2021-09-19T10:26:36Z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2021-09-19T09:54:46Z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3f208187-a11e-440e-a76d-ddd00a0b86b6</vt:lpwstr>
  </property>
  <property fmtid="{D5CDD505-2E9C-101B-9397-08002B2CF9AE}" pid="8" name="MSIP_Label_38f1469a-2c2a-4aee-b92b-090d4c5468ff_ContentBits">
    <vt:lpwstr>0</vt:lpwstr>
  </property>
</Properties>
</file>