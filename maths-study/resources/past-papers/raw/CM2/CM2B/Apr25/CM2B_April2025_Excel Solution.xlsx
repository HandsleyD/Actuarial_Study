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50e87544491320/Documents/CM2/Marking April 2025/Reports/"/>
    </mc:Choice>
  </mc:AlternateContent>
  <xr:revisionPtr revIDLastSave="77" documentId="13_ncr:1_{8AC1C7FE-2AEB-46AB-8790-36A847871DEB}" xr6:coauthVersionLast="47" xr6:coauthVersionMax="47" xr10:uidLastSave="{8C50776C-2A5F-42D2-A74C-EFDAF54A102A}"/>
  <bookViews>
    <workbookView xWindow="8865" yWindow="6885" windowWidth="19125" windowHeight="23715" xr2:uid="{00000000-000D-0000-FFFF-FFFF00000000}"/>
  </bookViews>
  <sheets>
    <sheet name="B-S calculator" sheetId="47" r:id="rId1"/>
    <sheet name="Q1 Data" sheetId="49" r:id="rId2"/>
    <sheet name="1i" sheetId="50" r:id="rId3"/>
    <sheet name="1ii" sheetId="52" r:id="rId4"/>
    <sheet name="1iii" sheetId="53" r:id="rId5"/>
    <sheet name="1iv" sheetId="54" r:id="rId6"/>
    <sheet name="1v" sheetId="55" r:id="rId7"/>
    <sheet name="1vi" sheetId="56" r:id="rId8"/>
    <sheet name="1vii" sheetId="57" r:id="rId9"/>
    <sheet name="Q2 Data" sheetId="58" r:id="rId10"/>
    <sheet name="2i" sheetId="59" r:id="rId11"/>
    <sheet name="2ii" sheetId="60" r:id="rId12"/>
    <sheet name="2iii" sheetId="61" r:id="rId13"/>
    <sheet name="2iv" sheetId="62" r:id="rId14"/>
    <sheet name="2v" sheetId="63" r:id="rId15"/>
    <sheet name="2vi" sheetId="64" r:id="rId16"/>
    <sheet name="2vii" sheetId="65" r:id="rId17"/>
    <sheet name="Q3 Data" sheetId="66" r:id="rId18"/>
    <sheet name="3i" sheetId="67" r:id="rId19"/>
    <sheet name="3ii" sheetId="68" r:id="rId20"/>
    <sheet name="3iii" sheetId="69" r:id="rId21"/>
    <sheet name="3iv" sheetId="70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61" l="1"/>
  <c r="D8" i="61" s="1"/>
  <c r="D12" i="62" l="1"/>
  <c r="B6" i="70" l="1"/>
  <c r="B3" i="70"/>
  <c r="G22" i="69"/>
  <c r="I22" i="69" s="1"/>
  <c r="G21" i="69"/>
  <c r="I21" i="69" s="1"/>
  <c r="G20" i="69"/>
  <c r="I20" i="69" s="1"/>
  <c r="I19" i="69"/>
  <c r="G19" i="69"/>
  <c r="G18" i="69"/>
  <c r="I18" i="69" s="1"/>
  <c r="G17" i="69"/>
  <c r="I17" i="69" s="1"/>
  <c r="G16" i="69"/>
  <c r="I16" i="69" s="1"/>
  <c r="G15" i="69"/>
  <c r="I15" i="69" s="1"/>
  <c r="G14" i="69"/>
  <c r="I14" i="69" s="1"/>
  <c r="G13" i="69"/>
  <c r="I13" i="69" s="1"/>
  <c r="G12" i="69"/>
  <c r="I12" i="69" s="1"/>
  <c r="B12" i="69"/>
  <c r="F22" i="68"/>
  <c r="H22" i="68" s="1"/>
  <c r="F21" i="68"/>
  <c r="H21" i="68" s="1"/>
  <c r="F20" i="68"/>
  <c r="H20" i="68" s="1"/>
  <c r="F19" i="68"/>
  <c r="H19" i="68" s="1"/>
  <c r="F18" i="68"/>
  <c r="H18" i="68" s="1"/>
  <c r="F17" i="68"/>
  <c r="H17" i="68" s="1"/>
  <c r="F16" i="68"/>
  <c r="H16" i="68" s="1"/>
  <c r="F15" i="68"/>
  <c r="H15" i="68" s="1"/>
  <c r="F14" i="68"/>
  <c r="H14" i="68" s="1"/>
  <c r="F13" i="68"/>
  <c r="H13" i="68" s="1"/>
  <c r="F12" i="68"/>
  <c r="H12" i="68" s="1"/>
  <c r="D12" i="67"/>
  <c r="B12" i="67"/>
  <c r="B12" i="68" s="1"/>
  <c r="B11" i="66"/>
  <c r="C11" i="66" s="1"/>
  <c r="C13" i="67" s="1"/>
  <c r="C10" i="66"/>
  <c r="C12" i="67" s="1"/>
  <c r="F9" i="64"/>
  <c r="E9" i="64"/>
  <c r="D9" i="64"/>
  <c r="F8" i="62"/>
  <c r="E8" i="62"/>
  <c r="D8" i="62"/>
  <c r="F50" i="59"/>
  <c r="E50" i="59"/>
  <c r="D50" i="59"/>
  <c r="C50" i="59"/>
  <c r="F49" i="59"/>
  <c r="E49" i="59"/>
  <c r="D49" i="59"/>
  <c r="C49" i="59"/>
  <c r="F48" i="59"/>
  <c r="E48" i="59"/>
  <c r="D48" i="59"/>
  <c r="C48" i="59"/>
  <c r="F47" i="59"/>
  <c r="E47" i="59"/>
  <c r="D47" i="59"/>
  <c r="C47" i="59"/>
  <c r="F46" i="59"/>
  <c r="E46" i="59"/>
  <c r="D46" i="59"/>
  <c r="C46" i="59"/>
  <c r="F45" i="59"/>
  <c r="E45" i="59"/>
  <c r="D45" i="59"/>
  <c r="C45" i="59"/>
  <c r="F44" i="59"/>
  <c r="E44" i="59"/>
  <c r="D44" i="59"/>
  <c r="C44" i="59"/>
  <c r="F43" i="59"/>
  <c r="E43" i="59"/>
  <c r="D43" i="59"/>
  <c r="C43" i="59"/>
  <c r="F42" i="59"/>
  <c r="E42" i="59"/>
  <c r="D42" i="59"/>
  <c r="C42" i="59"/>
  <c r="F41" i="59"/>
  <c r="E41" i="59"/>
  <c r="D41" i="59"/>
  <c r="C41" i="59"/>
  <c r="F40" i="59"/>
  <c r="E40" i="59"/>
  <c r="D40" i="59"/>
  <c r="C40" i="59"/>
  <c r="F39" i="59"/>
  <c r="E39" i="59"/>
  <c r="D39" i="59"/>
  <c r="C39" i="59"/>
  <c r="F38" i="59"/>
  <c r="E38" i="59"/>
  <c r="D38" i="59"/>
  <c r="C38" i="59"/>
  <c r="F37" i="59"/>
  <c r="E37" i="59"/>
  <c r="D37" i="59"/>
  <c r="C37" i="59"/>
  <c r="F36" i="59"/>
  <c r="E36" i="59"/>
  <c r="D36" i="59"/>
  <c r="C36" i="59"/>
  <c r="F35" i="59"/>
  <c r="E35" i="59"/>
  <c r="D35" i="59"/>
  <c r="C35" i="59"/>
  <c r="F34" i="59"/>
  <c r="E34" i="59"/>
  <c r="D34" i="59"/>
  <c r="C34" i="59"/>
  <c r="F33" i="59"/>
  <c r="E33" i="59"/>
  <c r="D33" i="59"/>
  <c r="C33" i="59"/>
  <c r="F32" i="59"/>
  <c r="E32" i="59"/>
  <c r="D32" i="59"/>
  <c r="C32" i="59"/>
  <c r="F31" i="59"/>
  <c r="E31" i="59"/>
  <c r="D31" i="59"/>
  <c r="C31" i="59"/>
  <c r="F30" i="59"/>
  <c r="E30" i="59"/>
  <c r="D30" i="59"/>
  <c r="C30" i="59"/>
  <c r="F29" i="59"/>
  <c r="E29" i="59"/>
  <c r="D29" i="59"/>
  <c r="C29" i="59"/>
  <c r="F28" i="59"/>
  <c r="E28" i="59"/>
  <c r="D28" i="59"/>
  <c r="C28" i="59"/>
  <c r="F27" i="59"/>
  <c r="E27" i="59"/>
  <c r="D27" i="59"/>
  <c r="C27" i="59"/>
  <c r="F26" i="59"/>
  <c r="E26" i="59"/>
  <c r="D26" i="59"/>
  <c r="C26" i="59"/>
  <c r="F25" i="59"/>
  <c r="E25" i="59"/>
  <c r="D25" i="59"/>
  <c r="C25" i="59"/>
  <c r="F24" i="59"/>
  <c r="E24" i="59"/>
  <c r="D24" i="59"/>
  <c r="C24" i="59"/>
  <c r="F23" i="59"/>
  <c r="E23" i="59"/>
  <c r="D23" i="59"/>
  <c r="C23" i="59"/>
  <c r="F22" i="59"/>
  <c r="E22" i="59"/>
  <c r="D22" i="59"/>
  <c r="C22" i="59"/>
  <c r="F21" i="59"/>
  <c r="E21" i="59"/>
  <c r="D21" i="59"/>
  <c r="C21" i="59"/>
  <c r="F20" i="59"/>
  <c r="E20" i="59"/>
  <c r="D20" i="59"/>
  <c r="C20" i="59"/>
  <c r="F19" i="59"/>
  <c r="E19" i="59"/>
  <c r="D19" i="59"/>
  <c r="C19" i="59"/>
  <c r="F18" i="59"/>
  <c r="E18" i="59"/>
  <c r="D18" i="59"/>
  <c r="C18" i="59"/>
  <c r="F17" i="59"/>
  <c r="E17" i="59"/>
  <c r="D17" i="59"/>
  <c r="C17" i="59"/>
  <c r="F16" i="59"/>
  <c r="E16" i="59"/>
  <c r="D16" i="59"/>
  <c r="C16" i="59"/>
  <c r="F15" i="59"/>
  <c r="E15" i="59"/>
  <c r="D15" i="59"/>
  <c r="C15" i="59"/>
  <c r="F14" i="59"/>
  <c r="E14" i="59"/>
  <c r="D14" i="59"/>
  <c r="C14" i="59"/>
  <c r="F13" i="59"/>
  <c r="E13" i="59"/>
  <c r="D13" i="59"/>
  <c r="C13" i="59"/>
  <c r="F12" i="59"/>
  <c r="E12" i="59"/>
  <c r="D12" i="59"/>
  <c r="C12" i="59"/>
  <c r="F11" i="59"/>
  <c r="E11" i="59"/>
  <c r="D11" i="59"/>
  <c r="C11" i="59"/>
  <c r="F10" i="59"/>
  <c r="E10" i="59"/>
  <c r="D10" i="59"/>
  <c r="C10" i="59"/>
  <c r="F9" i="59"/>
  <c r="E9" i="59"/>
  <c r="D9" i="59"/>
  <c r="C9" i="59"/>
  <c r="F8" i="59"/>
  <c r="E8" i="59"/>
  <c r="D8" i="59"/>
  <c r="C8" i="59"/>
  <c r="F7" i="59"/>
  <c r="E7" i="59"/>
  <c r="D7" i="59"/>
  <c r="C7" i="59"/>
  <c r="F6" i="59"/>
  <c r="E6" i="59"/>
  <c r="D6" i="59"/>
  <c r="C6" i="59"/>
  <c r="F5" i="59"/>
  <c r="E5" i="59"/>
  <c r="D5" i="59"/>
  <c r="C5" i="59"/>
  <c r="D3" i="61" s="1"/>
  <c r="D5" i="61" s="1"/>
  <c r="F4" i="59"/>
  <c r="D4" i="60" s="1"/>
  <c r="D3" i="64" s="1"/>
  <c r="E4" i="59"/>
  <c r="F3" i="61" s="1"/>
  <c r="F5" i="61" s="1"/>
  <c r="D4" i="59"/>
  <c r="E3" i="61" s="1"/>
  <c r="E5" i="61" s="1"/>
  <c r="C4" i="59"/>
  <c r="C102" i="56"/>
  <c r="C101" i="56"/>
  <c r="C100" i="56"/>
  <c r="C99" i="56"/>
  <c r="C98" i="56"/>
  <c r="C97" i="56"/>
  <c r="C96" i="56"/>
  <c r="C95" i="56"/>
  <c r="C94" i="56"/>
  <c r="C93" i="56"/>
  <c r="C92" i="56"/>
  <c r="C91" i="56"/>
  <c r="C90" i="56"/>
  <c r="C89" i="56"/>
  <c r="C88" i="56"/>
  <c r="C87" i="56"/>
  <c r="C86" i="56"/>
  <c r="C85" i="56"/>
  <c r="C84" i="56"/>
  <c r="C83" i="56"/>
  <c r="C82" i="56"/>
  <c r="C81" i="56"/>
  <c r="C80" i="56"/>
  <c r="C79" i="56"/>
  <c r="C78" i="56"/>
  <c r="C77" i="56"/>
  <c r="C76" i="56"/>
  <c r="C75" i="56"/>
  <c r="C74" i="56"/>
  <c r="C73" i="56"/>
  <c r="C72" i="56"/>
  <c r="C71" i="56"/>
  <c r="C70" i="56"/>
  <c r="C69" i="56"/>
  <c r="C68" i="56"/>
  <c r="C67" i="56"/>
  <c r="C66" i="56"/>
  <c r="C65" i="56"/>
  <c r="C64" i="56"/>
  <c r="C63" i="56"/>
  <c r="C62" i="56"/>
  <c r="C61" i="56"/>
  <c r="C60" i="56"/>
  <c r="C59" i="56"/>
  <c r="C58" i="56"/>
  <c r="C57" i="56"/>
  <c r="C56" i="56"/>
  <c r="C55" i="56"/>
  <c r="C54" i="56"/>
  <c r="C53" i="56"/>
  <c r="C52" i="56"/>
  <c r="C51" i="56"/>
  <c r="C50" i="56"/>
  <c r="C49" i="56"/>
  <c r="C48" i="56"/>
  <c r="C47" i="56"/>
  <c r="C46" i="56"/>
  <c r="C45" i="56"/>
  <c r="C44" i="56"/>
  <c r="C43" i="56"/>
  <c r="C42" i="56"/>
  <c r="C41" i="56"/>
  <c r="C40" i="56"/>
  <c r="C39" i="56"/>
  <c r="C38" i="56"/>
  <c r="C37" i="56"/>
  <c r="C36" i="56"/>
  <c r="C35" i="56"/>
  <c r="C34" i="56"/>
  <c r="C33" i="56"/>
  <c r="C32" i="56"/>
  <c r="C31" i="56"/>
  <c r="C30" i="56"/>
  <c r="C29" i="56"/>
  <c r="C28" i="56"/>
  <c r="C27" i="56"/>
  <c r="C26" i="56"/>
  <c r="C25" i="56"/>
  <c r="C24" i="56"/>
  <c r="C23" i="56"/>
  <c r="C22" i="56"/>
  <c r="C21" i="56"/>
  <c r="C20" i="56"/>
  <c r="C19" i="56"/>
  <c r="C18" i="56"/>
  <c r="C17" i="56"/>
  <c r="C16" i="56"/>
  <c r="C15" i="56"/>
  <c r="C14" i="56"/>
  <c r="C13" i="56"/>
  <c r="C12" i="56"/>
  <c r="C11" i="56"/>
  <c r="C10" i="56"/>
  <c r="C9" i="56"/>
  <c r="C8" i="56"/>
  <c r="G18" i="55"/>
  <c r="F18" i="55"/>
  <c r="O28" i="55" s="1"/>
  <c r="E18" i="55"/>
  <c r="D18" i="55"/>
  <c r="G17" i="55"/>
  <c r="F17" i="55"/>
  <c r="E17" i="55"/>
  <c r="D17" i="55"/>
  <c r="G16" i="55"/>
  <c r="F16" i="55"/>
  <c r="O26" i="55" s="1"/>
  <c r="E16" i="55"/>
  <c r="D16" i="55"/>
  <c r="D26" i="55" s="1"/>
  <c r="G15" i="55"/>
  <c r="F15" i="55"/>
  <c r="E15" i="55"/>
  <c r="D15" i="55"/>
  <c r="G14" i="55"/>
  <c r="F14" i="55"/>
  <c r="E14" i="55"/>
  <c r="D14" i="55"/>
  <c r="C3" i="55"/>
  <c r="C2" i="55"/>
  <c r="C37" i="55" s="1"/>
  <c r="C6" i="54"/>
  <c r="C5" i="54"/>
  <c r="M3" i="54"/>
  <c r="L3" i="54"/>
  <c r="K3" i="54"/>
  <c r="J3" i="54"/>
  <c r="C7" i="54" s="1"/>
  <c r="I3" i="54"/>
  <c r="G3" i="54"/>
  <c r="F3" i="54"/>
  <c r="E3" i="54"/>
  <c r="D3" i="54"/>
  <c r="C3" i="54"/>
  <c r="B3" i="54"/>
  <c r="E6" i="52"/>
  <c r="E5" i="52"/>
  <c r="E3" i="52"/>
  <c r="E2" i="52"/>
  <c r="C2" i="50"/>
  <c r="D19" i="50" s="1"/>
  <c r="D8" i="64" l="1"/>
  <c r="D11" i="64" s="1"/>
  <c r="D3" i="62"/>
  <c r="D4" i="62" s="1"/>
  <c r="F8" i="64"/>
  <c r="F11" i="64" s="1"/>
  <c r="F3" i="62"/>
  <c r="F4" i="62" s="1"/>
  <c r="F12" i="62" s="1"/>
  <c r="C13" i="69"/>
  <c r="C13" i="68"/>
  <c r="C12" i="69"/>
  <c r="C12" i="68"/>
  <c r="E8" i="64"/>
  <c r="E11" i="64" s="1"/>
  <c r="E3" i="62"/>
  <c r="E4" i="62" s="1"/>
  <c r="E12" i="62" s="1"/>
  <c r="N24" i="55"/>
  <c r="O25" i="55"/>
  <c r="N27" i="55"/>
  <c r="M28" i="55"/>
  <c r="D2" i="60"/>
  <c r="D2" i="64" s="1"/>
  <c r="E12" i="67"/>
  <c r="D12" i="68"/>
  <c r="G12" i="68" s="1"/>
  <c r="I12" i="68" s="1"/>
  <c r="I26" i="55"/>
  <c r="N26" i="55"/>
  <c r="J26" i="55"/>
  <c r="B13" i="67"/>
  <c r="D12" i="69"/>
  <c r="F12" i="69" s="1"/>
  <c r="H12" i="69" s="1"/>
  <c r="N25" i="55"/>
  <c r="N28" i="55"/>
  <c r="D28" i="55"/>
  <c r="B12" i="66"/>
  <c r="D37" i="55"/>
  <c r="C12" i="66"/>
  <c r="C14" i="67" s="1"/>
  <c r="D52" i="61"/>
  <c r="D48" i="61"/>
  <c r="D44" i="61"/>
  <c r="D40" i="61"/>
  <c r="D36" i="61"/>
  <c r="D30" i="61"/>
  <c r="D26" i="61"/>
  <c r="D22" i="61"/>
  <c r="D16" i="61"/>
  <c r="D12" i="61"/>
  <c r="D54" i="61"/>
  <c r="D50" i="61"/>
  <c r="D46" i="61"/>
  <c r="D42" i="61"/>
  <c r="D38" i="61"/>
  <c r="D34" i="61"/>
  <c r="D32" i="61"/>
  <c r="D28" i="61"/>
  <c r="D24" i="61"/>
  <c r="D18" i="61"/>
  <c r="D14" i="61"/>
  <c r="D55" i="61"/>
  <c r="D53" i="61"/>
  <c r="D51" i="61"/>
  <c r="D49" i="61"/>
  <c r="D47" i="61"/>
  <c r="D45" i="61"/>
  <c r="D43" i="61"/>
  <c r="D41" i="61"/>
  <c r="D39" i="61"/>
  <c r="D37" i="61"/>
  <c r="D35" i="61"/>
  <c r="D33" i="61"/>
  <c r="D31" i="61"/>
  <c r="D29" i="61"/>
  <c r="D27" i="61"/>
  <c r="D25" i="61"/>
  <c r="D23" i="61"/>
  <c r="D21" i="61"/>
  <c r="D19" i="61"/>
  <c r="D17" i="61"/>
  <c r="D15" i="61"/>
  <c r="D13" i="61"/>
  <c r="D11" i="61"/>
  <c r="D56" i="61"/>
  <c r="D20" i="61"/>
  <c r="F56" i="61"/>
  <c r="F54" i="61"/>
  <c r="F52" i="61"/>
  <c r="F50" i="61"/>
  <c r="F48" i="61"/>
  <c r="F46" i="61"/>
  <c r="F44" i="61"/>
  <c r="F42" i="61"/>
  <c r="F40" i="61"/>
  <c r="F38" i="61"/>
  <c r="F36" i="61"/>
  <c r="F34" i="61"/>
  <c r="F32" i="61"/>
  <c r="F30" i="61"/>
  <c r="F28" i="61"/>
  <c r="F26" i="61"/>
  <c r="F24" i="61"/>
  <c r="F22" i="61"/>
  <c r="F20" i="61"/>
  <c r="F18" i="61"/>
  <c r="F16" i="61"/>
  <c r="F14" i="61"/>
  <c r="F12" i="61"/>
  <c r="F10" i="61"/>
  <c r="F53" i="61"/>
  <c r="F51" i="61"/>
  <c r="F49" i="61"/>
  <c r="F47" i="61"/>
  <c r="F41" i="61"/>
  <c r="F39" i="61"/>
  <c r="F35" i="61"/>
  <c r="F31" i="61"/>
  <c r="F27" i="61"/>
  <c r="F21" i="61"/>
  <c r="F17" i="61"/>
  <c r="F11" i="61"/>
  <c r="F55" i="61"/>
  <c r="F45" i="61"/>
  <c r="F37" i="61"/>
  <c r="F33" i="61"/>
  <c r="F29" i="61"/>
  <c r="F25" i="61"/>
  <c r="F19" i="61"/>
  <c r="F15" i="61"/>
  <c r="F43" i="61"/>
  <c r="F23" i="61"/>
  <c r="F13" i="61"/>
  <c r="E56" i="61"/>
  <c r="E54" i="61"/>
  <c r="E52" i="61"/>
  <c r="E50" i="61"/>
  <c r="E48" i="61"/>
  <c r="E46" i="61"/>
  <c r="E44" i="61"/>
  <c r="E42" i="61"/>
  <c r="E40" i="61"/>
  <c r="E38" i="61"/>
  <c r="E36" i="61"/>
  <c r="E34" i="61"/>
  <c r="E32" i="61"/>
  <c r="E30" i="61"/>
  <c r="E28" i="61"/>
  <c r="E26" i="61"/>
  <c r="E24" i="61"/>
  <c r="E22" i="61"/>
  <c r="E20" i="61"/>
  <c r="E18" i="61"/>
  <c r="E16" i="61"/>
  <c r="E14" i="61"/>
  <c r="E12" i="61"/>
  <c r="E10" i="61"/>
  <c r="E55" i="61"/>
  <c r="E53" i="61"/>
  <c r="E51" i="61"/>
  <c r="E49" i="61"/>
  <c r="E47" i="61"/>
  <c r="E45" i="61"/>
  <c r="E43" i="61"/>
  <c r="E41" i="61"/>
  <c r="E39" i="61"/>
  <c r="E37" i="61"/>
  <c r="E35" i="61"/>
  <c r="E33" i="61"/>
  <c r="E31" i="61"/>
  <c r="E29" i="61"/>
  <c r="E27" i="61"/>
  <c r="E25" i="61"/>
  <c r="E23" i="61"/>
  <c r="E21" i="61"/>
  <c r="E19" i="61"/>
  <c r="E17" i="61"/>
  <c r="E15" i="61"/>
  <c r="E13" i="61"/>
  <c r="E11" i="61"/>
  <c r="J28" i="55"/>
  <c r="C33" i="55"/>
  <c r="I27" i="55"/>
  <c r="O27" i="55"/>
  <c r="I28" i="55"/>
  <c r="D24" i="55"/>
  <c r="J24" i="55"/>
  <c r="D25" i="55"/>
  <c r="J25" i="55"/>
  <c r="K28" i="55"/>
  <c r="C34" i="55"/>
  <c r="E24" i="55"/>
  <c r="K24" i="55"/>
  <c r="E25" i="55"/>
  <c r="K25" i="55"/>
  <c r="E26" i="55"/>
  <c r="K26" i="55"/>
  <c r="E27" i="55"/>
  <c r="K27" i="55"/>
  <c r="E28" i="55"/>
  <c r="E37" i="55" s="1"/>
  <c r="F24" i="55"/>
  <c r="L24" i="55"/>
  <c r="F25" i="55"/>
  <c r="L25" i="55"/>
  <c r="F26" i="55"/>
  <c r="L26" i="55"/>
  <c r="F27" i="55"/>
  <c r="L27" i="55"/>
  <c r="F28" i="55"/>
  <c r="L28" i="55"/>
  <c r="C35" i="55"/>
  <c r="I24" i="55"/>
  <c r="O24" i="55"/>
  <c r="I25" i="55"/>
  <c r="C36" i="55"/>
  <c r="D27" i="55"/>
  <c r="J27" i="55"/>
  <c r="G24" i="55"/>
  <c r="M24" i="55"/>
  <c r="G25" i="55"/>
  <c r="M25" i="55"/>
  <c r="G26" i="55"/>
  <c r="M26" i="55"/>
  <c r="G27" i="55"/>
  <c r="M27" i="55"/>
  <c r="G28" i="55"/>
  <c r="H24" i="55"/>
  <c r="H25" i="55"/>
  <c r="H26" i="55"/>
  <c r="H27" i="55"/>
  <c r="H28" i="55"/>
  <c r="C9" i="54"/>
  <c r="D7" i="50"/>
  <c r="D8" i="50"/>
  <c r="D9" i="50"/>
  <c r="D34" i="55" l="1"/>
  <c r="E34" i="55" s="1"/>
  <c r="F34" i="55" s="1"/>
  <c r="G34" i="55" s="1"/>
  <c r="H34" i="55" s="1"/>
  <c r="I34" i="55" s="1"/>
  <c r="J34" i="55" s="1"/>
  <c r="K34" i="55" s="1"/>
  <c r="L34" i="55" s="1"/>
  <c r="M34" i="55" s="1"/>
  <c r="N34" i="55" s="1"/>
  <c r="O34" i="55" s="1"/>
  <c r="C14" i="68"/>
  <c r="C14" i="69"/>
  <c r="E12" i="69"/>
  <c r="E12" i="68"/>
  <c r="B13" i="66"/>
  <c r="B14" i="67"/>
  <c r="B13" i="68"/>
  <c r="D13" i="67"/>
  <c r="B13" i="69"/>
  <c r="D36" i="55"/>
  <c r="E36" i="55" s="1"/>
  <c r="F36" i="55" s="1"/>
  <c r="G36" i="55" s="1"/>
  <c r="H36" i="55" s="1"/>
  <c r="I36" i="55" s="1"/>
  <c r="J36" i="55" s="1"/>
  <c r="K36" i="55" s="1"/>
  <c r="L36" i="55" s="1"/>
  <c r="M36" i="55" s="1"/>
  <c r="N36" i="55" s="1"/>
  <c r="O36" i="55" s="1"/>
  <c r="C6" i="56"/>
  <c r="F37" i="55"/>
  <c r="D33" i="55"/>
  <c r="E33" i="55" s="1"/>
  <c r="F33" i="55" s="1"/>
  <c r="D35" i="55"/>
  <c r="D14" i="64"/>
  <c r="D15" i="62"/>
  <c r="F8" i="61"/>
  <c r="E8" i="61"/>
  <c r="G33" i="55"/>
  <c r="H33" i="55" s="1"/>
  <c r="I33" i="55" s="1"/>
  <c r="J33" i="55" s="1"/>
  <c r="K33" i="55" s="1"/>
  <c r="L33" i="55" s="1"/>
  <c r="M33" i="55" s="1"/>
  <c r="N33" i="55" s="1"/>
  <c r="O33" i="55" s="1"/>
  <c r="E35" i="55"/>
  <c r="F35" i="55" s="1"/>
  <c r="G35" i="55" s="1"/>
  <c r="H35" i="55" s="1"/>
  <c r="I35" i="55" s="1"/>
  <c r="J35" i="55" s="1"/>
  <c r="K35" i="55" s="1"/>
  <c r="L35" i="55" s="1"/>
  <c r="M35" i="55" s="1"/>
  <c r="N35" i="55" s="1"/>
  <c r="O35" i="55" s="1"/>
  <c r="D11" i="50"/>
  <c r="E13" i="67" l="1"/>
  <c r="D13" i="69"/>
  <c r="D13" i="68"/>
  <c r="G13" i="68" s="1"/>
  <c r="I13" i="68" s="1"/>
  <c r="E7" i="64"/>
  <c r="E15" i="62"/>
  <c r="E10" i="64" s="1"/>
  <c r="G37" i="55"/>
  <c r="H37" i="55" s="1"/>
  <c r="I37" i="55" s="1"/>
  <c r="J37" i="55" s="1"/>
  <c r="K37" i="55" s="1"/>
  <c r="L37" i="55" s="1"/>
  <c r="M37" i="55" s="1"/>
  <c r="N37" i="55" s="1"/>
  <c r="O37" i="55" s="1"/>
  <c r="D14" i="67"/>
  <c r="B14" i="68"/>
  <c r="B14" i="69"/>
  <c r="C4" i="56"/>
  <c r="B15" i="67"/>
  <c r="B14" i="66"/>
  <c r="C13" i="66"/>
  <c r="C15" i="67" s="1"/>
  <c r="C3" i="56"/>
  <c r="F7" i="64"/>
  <c r="F15" i="62"/>
  <c r="F10" i="64" s="1"/>
  <c r="C5" i="56"/>
  <c r="D7" i="64"/>
  <c r="D10" i="64"/>
  <c r="E14" i="67" l="1"/>
  <c r="D14" i="69"/>
  <c r="D14" i="68"/>
  <c r="G14" i="68" s="1"/>
  <c r="I14" i="68" s="1"/>
  <c r="B15" i="68"/>
  <c r="D15" i="67"/>
  <c r="B15" i="69"/>
  <c r="C7" i="56"/>
  <c r="F13" i="69"/>
  <c r="H13" i="69"/>
  <c r="C15" i="68"/>
  <c r="C15" i="69"/>
  <c r="E13" i="69"/>
  <c r="E13" i="68"/>
  <c r="F3" i="56"/>
  <c r="F4" i="56" s="1"/>
  <c r="B16" i="67"/>
  <c r="C14" i="66"/>
  <c r="C16" i="67" s="1"/>
  <c r="B15" i="66"/>
  <c r="D12" i="64"/>
  <c r="B17" i="67" l="1"/>
  <c r="B16" i="66"/>
  <c r="C15" i="66"/>
  <c r="C17" i="67" s="1"/>
  <c r="B16" i="68"/>
  <c r="B16" i="69"/>
  <c r="D16" i="67"/>
  <c r="C16" i="68"/>
  <c r="C16" i="69"/>
  <c r="H14" i="69"/>
  <c r="F14" i="69"/>
  <c r="E15" i="67"/>
  <c r="D15" i="69"/>
  <c r="D15" i="68"/>
  <c r="G15" i="68" s="1"/>
  <c r="I15" i="68" s="1"/>
  <c r="E14" i="69"/>
  <c r="E14" i="68"/>
  <c r="F12" i="64"/>
  <c r="D20" i="64"/>
  <c r="D16" i="64" l="1"/>
  <c r="D24" i="64" s="1"/>
  <c r="E15" i="69"/>
  <c r="E15" i="68"/>
  <c r="C17" i="68"/>
  <c r="C17" i="69"/>
  <c r="F15" i="69"/>
  <c r="H15" i="69"/>
  <c r="E16" i="67"/>
  <c r="D16" i="69"/>
  <c r="D16" i="68"/>
  <c r="G16" i="68" s="1"/>
  <c r="I16" i="68" s="1"/>
  <c r="B18" i="67"/>
  <c r="B17" i="66"/>
  <c r="C16" i="66"/>
  <c r="C18" i="67" s="1"/>
  <c r="D17" i="67"/>
  <c r="B17" i="68"/>
  <c r="B17" i="69"/>
  <c r="D21" i="64"/>
  <c r="D15" i="64"/>
  <c r="E17" i="67" l="1"/>
  <c r="D17" i="68"/>
  <c r="G17" i="68" s="1"/>
  <c r="I17" i="68" s="1"/>
  <c r="D17" i="69"/>
  <c r="D18" i="67"/>
  <c r="B18" i="68"/>
  <c r="B18" i="69"/>
  <c r="E16" i="69"/>
  <c r="E16" i="68"/>
  <c r="C18" i="68"/>
  <c r="C18" i="69"/>
  <c r="B19" i="67"/>
  <c r="C17" i="66"/>
  <c r="C19" i="67" s="1"/>
  <c r="B18" i="66"/>
  <c r="F16" i="69"/>
  <c r="H16" i="69"/>
  <c r="B19" i="68" l="1"/>
  <c r="D19" i="67"/>
  <c r="B19" i="69"/>
  <c r="H17" i="69"/>
  <c r="F17" i="69"/>
  <c r="B20" i="67"/>
  <c r="C18" i="66"/>
  <c r="C20" i="67" s="1"/>
  <c r="B19" i="66"/>
  <c r="E17" i="69"/>
  <c r="E17" i="68"/>
  <c r="C19" i="68"/>
  <c r="C19" i="69"/>
  <c r="E18" i="67"/>
  <c r="D18" i="68"/>
  <c r="G18" i="68" s="1"/>
  <c r="I18" i="68" s="1"/>
  <c r="D18" i="69"/>
  <c r="C15" i="47"/>
  <c r="C17" i="47" s="1"/>
  <c r="C14" i="47"/>
  <c r="C13" i="47"/>
  <c r="D20" i="67" l="1"/>
  <c r="B20" i="69"/>
  <c r="B20" i="68"/>
  <c r="F18" i="69"/>
  <c r="H18" i="69"/>
  <c r="B21" i="67"/>
  <c r="B20" i="66"/>
  <c r="C19" i="66"/>
  <c r="C21" i="67" s="1"/>
  <c r="E19" i="67"/>
  <c r="D19" i="68"/>
  <c r="G19" i="68" s="1"/>
  <c r="I19" i="68" s="1"/>
  <c r="D19" i="69"/>
  <c r="E18" i="69"/>
  <c r="E18" i="68"/>
  <c r="C20" i="69"/>
  <c r="C20" i="68"/>
  <c r="C16" i="47"/>
  <c r="C18" i="47" s="1"/>
  <c r="C22" i="47" s="1"/>
  <c r="B21" i="69" l="1"/>
  <c r="B21" i="68"/>
  <c r="D21" i="67"/>
  <c r="F19" i="69"/>
  <c r="H19" i="69"/>
  <c r="E19" i="69"/>
  <c r="E19" i="68"/>
  <c r="C21" i="69"/>
  <c r="C21" i="68"/>
  <c r="C20" i="66"/>
  <c r="C22" i="67" s="1"/>
  <c r="B22" i="67"/>
  <c r="E20" i="67"/>
  <c r="D20" i="69"/>
  <c r="D20" i="68"/>
  <c r="G20" i="68" s="1"/>
  <c r="I20" i="68" s="1"/>
  <c r="C21" i="47"/>
  <c r="D22" i="67" l="1"/>
  <c r="B22" i="68"/>
  <c r="B22" i="69"/>
  <c r="H20" i="69"/>
  <c r="F20" i="69"/>
  <c r="C22" i="68"/>
  <c r="C22" i="69"/>
  <c r="E21" i="67"/>
  <c r="D21" i="69"/>
  <c r="D21" i="68"/>
  <c r="G21" i="68" s="1"/>
  <c r="I21" i="68" s="1"/>
  <c r="E20" i="69"/>
  <c r="E20" i="68"/>
  <c r="C26" i="68" l="1"/>
  <c r="C26" i="69" s="1"/>
  <c r="D26" i="68"/>
  <c r="D26" i="69" s="1"/>
  <c r="F21" i="69"/>
  <c r="H21" i="69"/>
  <c r="E21" i="69"/>
  <c r="E21" i="68"/>
  <c r="D27" i="69"/>
  <c r="E22" i="67"/>
  <c r="D22" i="68"/>
  <c r="G22" i="68" s="1"/>
  <c r="I22" i="68" s="1"/>
  <c r="D22" i="69"/>
  <c r="E22" i="68" l="1"/>
  <c r="E23" i="68" s="1"/>
  <c r="E22" i="69"/>
  <c r="E23" i="69" s="1"/>
  <c r="C24" i="67"/>
  <c r="F22" i="69"/>
  <c r="H22" i="69"/>
  <c r="C27" i="69" s="1"/>
  <c r="C28" i="69" s="1"/>
  <c r="D28" i="6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act</author>
  </authors>
  <commentList>
    <comment ref="C30" authorId="0" shapeId="0" xr:uid="{46C1A446-5CB3-405F-912F-8C78534D4692}">
      <text>
        <r>
          <rPr>
            <b/>
            <sz val="9"/>
            <color indexed="81"/>
            <rFont val="Tahoma"/>
            <family val="2"/>
          </rPr>
          <t>act:</t>
        </r>
        <r>
          <rPr>
            <sz val="9"/>
            <color indexed="81"/>
            <rFont val="Tahoma"/>
            <family val="2"/>
          </rPr>
          <t xml:space="preserve">
By using goal seek the minium premium is calculated by making expected utility equal to certain utility of the Insurer
</t>
        </r>
      </text>
    </comment>
    <comment ref="C33" authorId="0" shapeId="0" xr:uid="{E32932DB-FCA4-4D99-8CFC-D17D9972A18F}">
      <text>
        <r>
          <rPr>
            <b/>
            <sz val="9"/>
            <color indexed="81"/>
            <rFont val="Tahoma"/>
            <family val="2"/>
          </rPr>
          <t>act:</t>
        </r>
        <r>
          <rPr>
            <sz val="9"/>
            <color indexed="81"/>
            <rFont val="Tahoma"/>
            <family val="2"/>
          </rPr>
          <t xml:space="preserve">
The Maximum premium is calculated by equating the expected utility to certain utility of the policy holder
</t>
        </r>
      </text>
    </comment>
  </commentList>
</comments>
</file>

<file path=xl/sharedStrings.xml><?xml version="1.0" encoding="utf-8"?>
<sst xmlns="http://schemas.openxmlformats.org/spreadsheetml/2006/main" count="1140" uniqueCount="189">
  <si>
    <t>[1]</t>
  </si>
  <si>
    <t>[2]</t>
  </si>
  <si>
    <t>Comments:</t>
  </si>
  <si>
    <t>Black-Scholes calculator</t>
  </si>
  <si>
    <t>Parameters</t>
  </si>
  <si>
    <t>Share price</t>
  </si>
  <si>
    <t>Strike price</t>
  </si>
  <si>
    <t>Maturity</t>
  </si>
  <si>
    <t>Risk-free rate</t>
  </si>
  <si>
    <t>Volatility</t>
  </si>
  <si>
    <t>Calculations</t>
  </si>
  <si>
    <t>Present value of strike</t>
  </si>
  <si>
    <r>
      <t>s</t>
    </r>
    <r>
      <rPr>
        <sz val="11"/>
        <color theme="1"/>
        <rFont val="Calibri"/>
        <family val="2"/>
        <scheme val="minor"/>
      </rPr>
      <t>*t^.5</t>
    </r>
  </si>
  <si>
    <t>d1</t>
  </si>
  <si>
    <t>d2</t>
  </si>
  <si>
    <t>N(d1)</t>
  </si>
  <si>
    <t>N(d2)</t>
  </si>
  <si>
    <t>Option values</t>
  </si>
  <si>
    <t>Value of Put option</t>
  </si>
  <si>
    <t>Value of Call option</t>
  </si>
  <si>
    <t>Plus [1] for any other valid comment</t>
  </si>
  <si>
    <t>Policy holder</t>
  </si>
  <si>
    <t>Insurer</t>
  </si>
  <si>
    <t>Claim per visit</t>
  </si>
  <si>
    <t>λ</t>
  </si>
  <si>
    <t>Initial wealth</t>
  </si>
  <si>
    <t>Insurer will always aim to charge premium that is higher than expected claim cost.</t>
  </si>
  <si>
    <t xml:space="preserve"> </t>
  </si>
  <si>
    <t>Expected claims cost</t>
  </si>
  <si>
    <t>claims</t>
  </si>
  <si>
    <t>Probability</t>
  </si>
  <si>
    <t>Number of visits</t>
  </si>
  <si>
    <t>Utility</t>
  </si>
  <si>
    <t>[Max 2]</t>
  </si>
  <si>
    <t>Min premium insurer will accept</t>
  </si>
  <si>
    <t>Max premium policyholder will pay</t>
  </si>
  <si>
    <t>(by goal seek)</t>
  </si>
  <si>
    <t>Poisson distribution</t>
  </si>
  <si>
    <t>Difference</t>
  </si>
  <si>
    <t>Mean</t>
  </si>
  <si>
    <t>Variance</t>
  </si>
  <si>
    <t>Simulation</t>
  </si>
  <si>
    <t>[Max 4]</t>
  </si>
  <si>
    <t>Beta</t>
  </si>
  <si>
    <t>Alpha</t>
  </si>
  <si>
    <t>a)</t>
  </si>
  <si>
    <t>b)</t>
  </si>
  <si>
    <t xml:space="preserve">The policyholder is willing to pay a higher premium than required by the insurer. </t>
  </si>
  <si>
    <t>Hence, the minimum premium should be above $57.25</t>
  </si>
  <si>
    <t>And will need to be higher to allow for expenses and profit</t>
  </si>
  <si>
    <t>Claims</t>
  </si>
  <si>
    <t>Wealth</t>
  </si>
  <si>
    <t>Expected utility with insurance</t>
  </si>
  <si>
    <t>Expected utility without insurance</t>
  </si>
  <si>
    <t>Without insurance</t>
  </si>
  <si>
    <t>Minimum premium insurer will accept</t>
  </si>
  <si>
    <t>Maximum premium policyholder will pay</t>
  </si>
  <si>
    <t>e.g. a premium of $57.50 would be acceptable for both insurer and policyholder</t>
  </si>
  <si>
    <t>[Max 3]</t>
  </si>
  <si>
    <t>You can copy this calculator and use it in your workings if you wish</t>
  </si>
  <si>
    <t>U</t>
  </si>
  <si>
    <t>c</t>
  </si>
  <si>
    <t>α</t>
  </si>
  <si>
    <t>β</t>
  </si>
  <si>
    <t>Claim numbers</t>
  </si>
  <si>
    <t>Claim amounts</t>
  </si>
  <si>
    <r>
      <t>t(i) = time between (i-1)</t>
    </r>
    <r>
      <rPr>
        <b/>
        <vertAlign val="superscript"/>
        <sz val="11"/>
        <color theme="1"/>
        <rFont val="Calibri"/>
        <family val="2"/>
        <scheme val="minor"/>
      </rPr>
      <t>th</t>
    </r>
    <r>
      <rPr>
        <b/>
        <sz val="11"/>
        <color theme="1"/>
        <rFont val="Calibri"/>
        <family val="2"/>
        <scheme val="minor"/>
      </rPr>
      <t xml:space="preserve"> and i</t>
    </r>
    <r>
      <rPr>
        <b/>
        <vertAlign val="superscript"/>
        <sz val="11"/>
        <color theme="1"/>
        <rFont val="Calibri"/>
        <family val="2"/>
        <scheme val="minor"/>
      </rPr>
      <t>th</t>
    </r>
    <r>
      <rPr>
        <b/>
        <sz val="11"/>
        <color theme="1"/>
        <rFont val="Calibri"/>
        <family val="2"/>
        <scheme val="minor"/>
      </rPr>
      <t xml:space="preserve"> claim</t>
    </r>
  </si>
  <si>
    <t>Surplus process</t>
  </si>
  <si>
    <r>
      <t>x</t>
    </r>
    <r>
      <rPr>
        <vertAlign val="subscript"/>
        <sz val="11"/>
        <color theme="1"/>
        <rFont val="Calibri"/>
        <family val="2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</si>
  <si>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scheme val="minor"/>
      </rPr>
      <t>2</t>
    </r>
  </si>
  <si>
    <r>
      <t>x</t>
    </r>
    <r>
      <rPr>
        <vertAlign val="subscript"/>
        <sz val="11"/>
        <color theme="1"/>
        <rFont val="Calibri"/>
        <family val="2"/>
        <scheme val="minor"/>
      </rPr>
      <t>3</t>
    </r>
  </si>
  <si>
    <r>
      <t>x</t>
    </r>
    <r>
      <rPr>
        <vertAlign val="subscript"/>
        <sz val="11"/>
        <color theme="1"/>
        <rFont val="Calibri"/>
        <family val="2"/>
        <scheme val="minor"/>
      </rPr>
      <t>4</t>
    </r>
  </si>
  <si>
    <t>t(1)</t>
  </si>
  <si>
    <t>t(2)</t>
  </si>
  <si>
    <t>t(3)</t>
  </si>
  <si>
    <t>t(4)</t>
  </si>
  <si>
    <t>U(0)</t>
  </si>
  <si>
    <t>U(1)</t>
  </si>
  <si>
    <t>U(2)</t>
  </si>
  <si>
    <t>U(3)</t>
  </si>
  <si>
    <t>U(4)</t>
  </si>
  <si>
    <t>U(5)</t>
  </si>
  <si>
    <t>U(6)</t>
  </si>
  <si>
    <t>U(7)</t>
  </si>
  <si>
    <t>U(8)</t>
  </si>
  <si>
    <t>U(9)</t>
  </si>
  <si>
    <t>U(10)</t>
  </si>
  <si>
    <t>U(11)</t>
  </si>
  <si>
    <t>U(12)</t>
  </si>
  <si>
    <t/>
  </si>
  <si>
    <t>Not provided</t>
  </si>
  <si>
    <t>(a)</t>
  </si>
  <si>
    <t>Using the poisson pdf:</t>
  </si>
  <si>
    <t>x</t>
  </si>
  <si>
    <t>p(x)</t>
  </si>
  <si>
    <t>P(N(t))&lt;=2</t>
  </si>
  <si>
    <t>(b)</t>
  </si>
  <si>
    <t>P(t(3)&gt;3) = 1-P(t(3)&lt;=3) = exp(-lambda*3)</t>
  </si>
  <si>
    <t>P(t(3)&gt;3)</t>
  </si>
  <si>
    <t>s.d.</t>
  </si>
  <si>
    <t>The mean/sd for the number/amount are similar for the simulations and the distribution.</t>
  </si>
  <si>
    <t>Therefore it is likely the simulations were created using the stated distributions.</t>
  </si>
  <si>
    <t xml:space="preserve">If the simulations were run again the results would be different. </t>
  </si>
  <si>
    <t>Increasing the number of simulations would reduce the difference between the simulated mean/sd and the theoretical mean/sd.</t>
  </si>
  <si>
    <t>x1</t>
  </si>
  <si>
    <t>x2</t>
  </si>
  <si>
    <t>x3</t>
  </si>
  <si>
    <t>x4</t>
  </si>
  <si>
    <t>ct</t>
  </si>
  <si>
    <t>S(t)</t>
  </si>
  <si>
    <t>Cumulative time</t>
  </si>
  <si>
    <t>Aggregate claims for t=0 to 12</t>
  </si>
  <si>
    <t>S(0)</t>
  </si>
  <si>
    <t>S(1)</t>
  </si>
  <si>
    <t>S(2)</t>
  </si>
  <si>
    <t>S(3)</t>
  </si>
  <si>
    <t>S(4)</t>
  </si>
  <si>
    <t>S(5)</t>
  </si>
  <si>
    <t>S(6)</t>
  </si>
  <si>
    <t>S(7)</t>
  </si>
  <si>
    <t>S(8)</t>
  </si>
  <si>
    <t>S(9)</t>
  </si>
  <si>
    <t>S(10)</t>
  </si>
  <si>
    <t>S(11)</t>
  </si>
  <si>
    <t>S(12)</t>
  </si>
  <si>
    <t>for correct number of claims in each simulation</t>
  </si>
  <si>
    <t>for correct total claim amounts in each simulation</t>
  </si>
  <si>
    <t>for correct timing of claims</t>
  </si>
  <si>
    <t>Surplus process for t=0 to 12</t>
  </si>
  <si>
    <t>for U(0) = 200</t>
  </si>
  <si>
    <t>for correct allowance for premium income</t>
  </si>
  <si>
    <t>for correct surplus process</t>
  </si>
  <si>
    <t>Does ruin occur?</t>
  </si>
  <si>
    <t>Simulations where ruin occurs</t>
  </si>
  <si>
    <t>Probability of ruin</t>
  </si>
  <si>
    <t>The mean of the claim amounts distribution would increase</t>
  </si>
  <si>
    <t>The s.d. of the claim amounts distribution would increase</t>
  </si>
  <si>
    <t>Any other sensible comment</t>
  </si>
  <si>
    <t>This is an increase in the rate of premium income</t>
  </si>
  <si>
    <t>(c)</t>
  </si>
  <si>
    <t>This would increase the number of claims.</t>
  </si>
  <si>
    <t>Monthly share prices</t>
  </si>
  <si>
    <r>
      <t>Standard deviation of error term ε</t>
    </r>
    <r>
      <rPr>
        <vertAlign val="subscript"/>
        <sz val="11"/>
        <color theme="1"/>
        <rFont val="Calibri"/>
        <family val="2"/>
        <scheme val="minor"/>
      </rPr>
      <t>i</t>
    </r>
  </si>
  <si>
    <t>Month, j</t>
  </si>
  <si>
    <t>Company A</t>
  </si>
  <si>
    <t>Company B</t>
  </si>
  <si>
    <t>Company C</t>
  </si>
  <si>
    <t>Whole market</t>
  </si>
  <si>
    <t>Return on market</t>
  </si>
  <si>
    <t>Variance of market</t>
  </si>
  <si>
    <t>Covariance with market</t>
  </si>
  <si>
    <t>[4]</t>
  </si>
  <si>
    <r>
      <t>R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- Beta * R</t>
    </r>
    <r>
      <rPr>
        <vertAlign val="subscript"/>
        <sz val="11"/>
        <color theme="1"/>
        <rFont val="Calibri"/>
        <family val="2"/>
        <scheme val="minor"/>
      </rPr>
      <t>m</t>
    </r>
  </si>
  <si>
    <t>Systematic risk</t>
  </si>
  <si>
    <t>[3]</t>
  </si>
  <si>
    <t>Specific risk</t>
  </si>
  <si>
    <t>Total risk</t>
  </si>
  <si>
    <t>(d)</t>
  </si>
  <si>
    <t>Expected return</t>
  </si>
  <si>
    <t>Company A has the lowest risk using any of the three measures</t>
  </si>
  <si>
    <t>But it also has the lowest expected return</t>
  </si>
  <si>
    <t>Company C would give a higher expected return with only slightly more market correlation</t>
  </si>
  <si>
    <t>A portfolio of more than one company's shares might give a higher expected return and lower risk…</t>
  </si>
  <si>
    <t>…due to the benefits of diversification</t>
  </si>
  <si>
    <t>The CEO might also want to consider any specific risk measures relating to their own situation</t>
  </si>
  <si>
    <r>
      <rPr>
        <sz val="11"/>
        <color theme="1"/>
        <rFont val="Calibri"/>
        <family val="2"/>
        <scheme val="minor"/>
      </rPr>
      <t>E</t>
    </r>
    <r>
      <rPr>
        <vertAlign val="subscript"/>
        <sz val="11"/>
        <color theme="1"/>
        <rFont val="Calibri"/>
        <family val="2"/>
        <scheme val="minor"/>
      </rPr>
      <t>M</t>
    </r>
  </si>
  <si>
    <r>
      <t>V</t>
    </r>
    <r>
      <rPr>
        <vertAlign val="subscript"/>
        <sz val="11"/>
        <color theme="1"/>
        <rFont val="Calibri"/>
        <family val="2"/>
        <scheme val="minor"/>
      </rPr>
      <t>M</t>
    </r>
  </si>
  <si>
    <t>Target return</t>
  </si>
  <si>
    <r>
      <t>Vε</t>
    </r>
    <r>
      <rPr>
        <vertAlign val="subscript"/>
        <sz val="11"/>
        <color theme="1"/>
        <rFont val="Calibri"/>
        <family val="2"/>
        <scheme val="minor"/>
      </rPr>
      <t>i</t>
    </r>
  </si>
  <si>
    <t>[1] each for A and C</t>
  </si>
  <si>
    <t>Weight</t>
  </si>
  <si>
    <r>
      <t>C</t>
    </r>
    <r>
      <rPr>
        <vertAlign val="subscript"/>
        <sz val="11"/>
        <color theme="1"/>
        <rFont val="Calibri"/>
        <family val="2"/>
        <scheme val="minor"/>
      </rPr>
      <t>A,C</t>
    </r>
  </si>
  <si>
    <r>
      <t>E</t>
    </r>
    <r>
      <rPr>
        <vertAlign val="subscript"/>
        <sz val="11"/>
        <color theme="1"/>
        <rFont val="Calibri"/>
        <family val="2"/>
        <scheme val="minor"/>
      </rPr>
      <t>P</t>
    </r>
  </si>
  <si>
    <r>
      <t>V</t>
    </r>
    <r>
      <rPr>
        <vertAlign val="subscript"/>
        <sz val="11"/>
        <color theme="1"/>
        <rFont val="Calibri"/>
        <family val="2"/>
        <scheme val="minor"/>
      </rPr>
      <t>P</t>
    </r>
  </si>
  <si>
    <t>Amounts to invest:</t>
  </si>
  <si>
    <t>$m</t>
  </si>
  <si>
    <t>The portfolio has a lower expected return than the market portfolio…</t>
  </si>
  <si>
    <t>…and a higher variance</t>
  </si>
  <si>
    <t>This is because the CEO prevented us from holding any of Asset B</t>
  </si>
  <si>
    <t>Asset B has less than 100% correlation with the market and with the other the assets</t>
  </si>
  <si>
    <t>So holding some of Asset B would give a diversification benefit</t>
  </si>
  <si>
    <t>Company B would give a much higher expected return but with more risk</t>
  </si>
  <si>
    <t>[Max 6]</t>
  </si>
  <si>
    <t>For a Poisson Process with parameter lambda, inter-event times have an exponential distribution with parameter lambda</t>
  </si>
  <si>
    <t>N(12)</t>
  </si>
  <si>
    <r>
      <t xml:space="preserve">This would be likely to </t>
    </r>
    <r>
      <rPr>
        <b/>
        <sz val="11"/>
        <color theme="1"/>
        <rFont val="Calibri"/>
        <family val="2"/>
        <scheme val="minor"/>
      </rPr>
      <t>increase</t>
    </r>
    <r>
      <rPr>
        <sz val="11"/>
        <color theme="1"/>
        <rFont val="Calibri"/>
        <family val="2"/>
        <scheme val="minor"/>
      </rPr>
      <t xml:space="preserve"> the probability of ruin</t>
    </r>
  </si>
  <si>
    <r>
      <t xml:space="preserve">This would be likely to </t>
    </r>
    <r>
      <rPr>
        <b/>
        <sz val="11"/>
        <color theme="1"/>
        <rFont val="Calibri"/>
        <family val="2"/>
        <scheme val="minor"/>
      </rPr>
      <t>reduce</t>
    </r>
    <r>
      <rPr>
        <sz val="11"/>
        <color theme="1"/>
        <rFont val="Calibri"/>
        <family val="2"/>
        <scheme val="minor"/>
      </rPr>
      <t xml:space="preserve"> the probability of ruin</t>
    </r>
  </si>
  <si>
    <t>Note - the question asked for P(N(t))&lt;=2.  The answer here is P(N(1))&lt;=2 but credit was awarded for using other values of t or for a general t.</t>
  </si>
  <si>
    <t>The premium should be between $57.25 and $57.60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</si>
</sst>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0.000"/>
    <numFmt numFmtId="166" formatCode="_-* #,##0_-;\-* #,##0_-;_-* &quot;-&quot;??_-;_-@_-"/>
    <numFmt numFmtId="167" formatCode="0.0%"/>
    <numFmt numFmtId="168" formatCode="_-* #,##0.000_-;\-* #,##0.000_-;_-* &quot;-&quot;??_-;_-@_-"/>
    <numFmt numFmtId="169" formatCode="0.0"/>
    <numFmt numFmtId="170" formatCode="0.0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164" fontId="0" fillId="2" borderId="0" xfId="0" applyNumberFormat="1" applyFill="1"/>
    <xf numFmtId="0" fontId="2" fillId="0" borderId="0" xfId="0" applyFont="1"/>
    <xf numFmtId="0" fontId="6" fillId="0" borderId="0" xfId="0" applyFont="1"/>
    <xf numFmtId="165" fontId="0" fillId="0" borderId="0" xfId="0" applyNumberFormat="1"/>
    <xf numFmtId="1" fontId="0" fillId="2" borderId="0" xfId="0" applyNumberFormat="1" applyFill="1"/>
    <xf numFmtId="9" fontId="0" fillId="0" borderId="0" xfId="0" applyNumberFormat="1"/>
    <xf numFmtId="166" fontId="0" fillId="0" borderId="0" xfId="5" applyNumberFormat="1" applyFont="1"/>
    <xf numFmtId="0" fontId="3" fillId="0" borderId="0" xfId="0" applyFont="1"/>
    <xf numFmtId="166" fontId="0" fillId="4" borderId="0" xfId="0" applyNumberFormat="1" applyFill="1"/>
    <xf numFmtId="10" fontId="0" fillId="4" borderId="0" xfId="0" applyNumberFormat="1" applyFill="1"/>
    <xf numFmtId="0" fontId="5" fillId="0" borderId="0" xfId="0" applyFont="1"/>
    <xf numFmtId="168" fontId="0" fillId="0" borderId="0" xfId="5" applyNumberFormat="1" applyFont="1"/>
    <xf numFmtId="169" fontId="0" fillId="0" borderId="0" xfId="0" applyNumberFormat="1"/>
    <xf numFmtId="1" fontId="0" fillId="0" borderId="0" xfId="0" applyNumberFormat="1"/>
    <xf numFmtId="170" fontId="0" fillId="0" borderId="0" xfId="0" applyNumberFormat="1"/>
    <xf numFmtId="0" fontId="11" fillId="0" borderId="0" xfId="0" applyFont="1"/>
    <xf numFmtId="0" fontId="0" fillId="5" borderId="0" xfId="0" applyFill="1"/>
    <xf numFmtId="169" fontId="0" fillId="2" borderId="0" xfId="0" applyNumberFormat="1" applyFill="1"/>
    <xf numFmtId="9" fontId="0" fillId="2" borderId="0" xfId="7" applyFont="1" applyFill="1"/>
    <xf numFmtId="0" fontId="11" fillId="2" borderId="0" xfId="0" applyFont="1" applyFill="1"/>
    <xf numFmtId="167" fontId="0" fillId="0" borderId="0" xfId="0" applyNumberFormat="1"/>
    <xf numFmtId="10" fontId="0" fillId="2" borderId="0" xfId="7" applyNumberFormat="1" applyFont="1" applyFill="1" applyBorder="1"/>
    <xf numFmtId="10" fontId="0" fillId="0" borderId="0" xfId="7" applyNumberFormat="1" applyFont="1"/>
    <xf numFmtId="10" fontId="0" fillId="0" borderId="0" xfId="0" applyNumberFormat="1"/>
    <xf numFmtId="10" fontId="0" fillId="2" borderId="0" xfId="7" applyNumberFormat="1" applyFont="1" applyFill="1"/>
    <xf numFmtId="2" fontId="0" fillId="3" borderId="0" xfId="0" applyNumberFormat="1" applyFill="1"/>
    <xf numFmtId="10" fontId="0" fillId="0" borderId="0" xfId="7" applyNumberFormat="1" applyFont="1" applyBorder="1"/>
    <xf numFmtId="10" fontId="0" fillId="0" borderId="0" xfId="7" applyNumberFormat="1" applyFont="1" applyFill="1" applyBorder="1"/>
    <xf numFmtId="10" fontId="1" fillId="2" borderId="0" xfId="7" applyNumberFormat="1" applyFont="1" applyFill="1" applyBorder="1"/>
    <xf numFmtId="0" fontId="9" fillId="0" borderId="0" xfId="0" applyFont="1"/>
    <xf numFmtId="10" fontId="12" fillId="0" borderId="0" xfId="7" applyNumberFormat="1" applyFont="1"/>
    <xf numFmtId="9" fontId="12" fillId="0" borderId="0" xfId="0" applyNumberFormat="1" applyFont="1"/>
    <xf numFmtId="0" fontId="0" fillId="0" borderId="0" xfId="0" applyAlignment="1">
      <alignment horizontal="right"/>
    </xf>
    <xf numFmtId="10" fontId="0" fillId="2" borderId="0" xfId="0" applyNumberFormat="1" applyFill="1"/>
    <xf numFmtId="10" fontId="0" fillId="0" borderId="0" xfId="7" applyNumberFormat="1" applyFont="1" applyFill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8">
    <cellStyle name="Comma" xfId="5" builtinId="3"/>
    <cellStyle name="Comma 2" xfId="3" xr:uid="{3078C6FA-2A08-4E83-91F6-AB1A2F32A363}"/>
    <cellStyle name="Normal" xfId="0" builtinId="0"/>
    <cellStyle name="Normal 2" xfId="1" xr:uid="{E96ECC49-42B4-49EF-A6E6-46ECF0C62190}"/>
    <cellStyle name="Normal 3" xfId="4" xr:uid="{442EFE32-590A-48E8-905C-4F9DBADE9F90}"/>
    <cellStyle name="Normal 4" xfId="2" xr:uid="{5110BDE4-0120-40B4-929D-68C65A97C50E}"/>
    <cellStyle name="Percent" xfId="7" builtinId="5"/>
    <cellStyle name="Percent 2" xfId="6" xr:uid="{27569F13-5007-4153-8ED2-5415EB55E9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2DDDD-82CF-4D45-8659-46F1C89F1E84}">
  <dimension ref="B2:C22"/>
  <sheetViews>
    <sheetView tabSelected="1" workbookViewId="0"/>
  </sheetViews>
  <sheetFormatPr defaultRowHeight="15" x14ac:dyDescent="0.25"/>
  <cols>
    <col min="2" max="2" width="22.42578125" bestFit="1" customWidth="1"/>
    <col min="3" max="3" width="10.85546875" customWidth="1"/>
  </cols>
  <sheetData>
    <row r="2" spans="2:3" x14ac:dyDescent="0.25">
      <c r="B2" s="10" t="s">
        <v>59</v>
      </c>
    </row>
    <row r="4" spans="2:3" x14ac:dyDescent="0.25">
      <c r="B4" s="10" t="s">
        <v>3</v>
      </c>
    </row>
    <row r="5" spans="2:3" x14ac:dyDescent="0.25">
      <c r="B5" s="16" t="s">
        <v>4</v>
      </c>
      <c r="C5" s="16"/>
    </row>
    <row r="6" spans="2:3" x14ac:dyDescent="0.25">
      <c r="B6" t="s">
        <v>5</v>
      </c>
      <c r="C6" s="17"/>
    </row>
    <row r="7" spans="2:3" x14ac:dyDescent="0.25">
      <c r="B7" t="s">
        <v>6</v>
      </c>
      <c r="C7" s="17"/>
    </row>
    <row r="8" spans="2:3" x14ac:dyDescent="0.25">
      <c r="B8" t="s">
        <v>7</v>
      </c>
      <c r="C8" s="17"/>
    </row>
    <row r="9" spans="2:3" x14ac:dyDescent="0.25">
      <c r="B9" t="s">
        <v>8</v>
      </c>
      <c r="C9" s="18"/>
    </row>
    <row r="10" spans="2:3" x14ac:dyDescent="0.25">
      <c r="B10" s="19" t="s">
        <v>9</v>
      </c>
      <c r="C10" s="18"/>
    </row>
    <row r="12" spans="2:3" x14ac:dyDescent="0.25">
      <c r="B12" s="16" t="s">
        <v>10</v>
      </c>
    </row>
    <row r="13" spans="2:3" x14ac:dyDescent="0.25">
      <c r="B13" t="s">
        <v>11</v>
      </c>
      <c r="C13" s="15">
        <f>++C7*EXP(-C9*C8)</f>
        <v>0</v>
      </c>
    </row>
    <row r="14" spans="2:3" x14ac:dyDescent="0.25">
      <c r="B14" s="19" t="s">
        <v>12</v>
      </c>
      <c r="C14" s="2">
        <f>+C10*C8^0.5</f>
        <v>0</v>
      </c>
    </row>
    <row r="15" spans="2:3" x14ac:dyDescent="0.25">
      <c r="B15" t="s">
        <v>13</v>
      </c>
      <c r="C15" s="2" t="e">
        <f>++(LN(C6/C7)+(C9+C10*C10/2)*C8)/(C10*C8^0.5)</f>
        <v>#DIV/0!</v>
      </c>
    </row>
    <row r="16" spans="2:3" x14ac:dyDescent="0.25">
      <c r="B16" t="s">
        <v>14</v>
      </c>
      <c r="C16" s="2" t="e">
        <f>+C15-C14</f>
        <v>#DIV/0!</v>
      </c>
    </row>
    <row r="17" spans="2:3" x14ac:dyDescent="0.25">
      <c r="B17" s="19" t="s">
        <v>15</v>
      </c>
      <c r="C17" s="2" t="e">
        <f>_xlfn.NORM.DIST(C15,0,1,TRUE)</f>
        <v>#DIV/0!</v>
      </c>
    </row>
    <row r="18" spans="2:3" x14ac:dyDescent="0.25">
      <c r="B18" s="19" t="s">
        <v>16</v>
      </c>
      <c r="C18" s="2" t="e">
        <f>_xlfn.NORM.DIST(C16,0,1,TRUE)</f>
        <v>#DIV/0!</v>
      </c>
    </row>
    <row r="20" spans="2:3" x14ac:dyDescent="0.25">
      <c r="B20" s="10" t="s">
        <v>17</v>
      </c>
    </row>
    <row r="21" spans="2:3" x14ac:dyDescent="0.25">
      <c r="B21" s="19" t="s">
        <v>18</v>
      </c>
      <c r="C21" s="20" t="e">
        <f>(C17-1)*C6-C18*C13+C13</f>
        <v>#DIV/0!</v>
      </c>
    </row>
    <row r="22" spans="2:3" x14ac:dyDescent="0.25">
      <c r="B22" s="19" t="s">
        <v>19</v>
      </c>
      <c r="C22" s="20" t="e">
        <f>C17*C6-C18*C13</f>
        <v>#DIV/0!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1E06-012D-45E8-A9B6-E4FB287CB49A}">
  <sheetPr>
    <tabColor theme="4" tint="0.79998168889431442"/>
  </sheetPr>
  <dimension ref="B2:AD113"/>
  <sheetViews>
    <sheetView zoomScaleNormal="100" workbookViewId="0"/>
  </sheetViews>
  <sheetFormatPr defaultRowHeight="15" x14ac:dyDescent="0.25"/>
  <cols>
    <col min="2" max="2" width="11.7109375" customWidth="1"/>
    <col min="5" max="5" width="11.7109375" customWidth="1"/>
    <col min="11" max="11" width="11.5703125" customWidth="1"/>
    <col min="17" max="17" width="12" customWidth="1"/>
  </cols>
  <sheetData>
    <row r="2" spans="2:30" x14ac:dyDescent="0.25">
      <c r="B2" s="10" t="s">
        <v>4</v>
      </c>
    </row>
    <row r="4" spans="2:30" x14ac:dyDescent="0.25">
      <c r="B4" t="s">
        <v>60</v>
      </c>
      <c r="C4">
        <v>200</v>
      </c>
    </row>
    <row r="5" spans="2:30" x14ac:dyDescent="0.25">
      <c r="B5" t="s">
        <v>61</v>
      </c>
      <c r="C5">
        <v>10</v>
      </c>
    </row>
    <row r="6" spans="2:30" x14ac:dyDescent="0.25">
      <c r="B6" t="s">
        <v>24</v>
      </c>
      <c r="C6">
        <v>0.5</v>
      </c>
    </row>
    <row r="8" spans="2:30" x14ac:dyDescent="0.25">
      <c r="B8" t="s">
        <v>62</v>
      </c>
      <c r="C8">
        <v>250</v>
      </c>
    </row>
    <row r="9" spans="2:30" x14ac:dyDescent="0.25">
      <c r="B9" t="s">
        <v>63</v>
      </c>
      <c r="C9">
        <v>2.5</v>
      </c>
    </row>
    <row r="11" spans="2:30" ht="17.25" x14ac:dyDescent="0.25">
      <c r="B11" s="10" t="s">
        <v>64</v>
      </c>
      <c r="E11" s="10" t="s">
        <v>65</v>
      </c>
      <c r="K11" s="10" t="s">
        <v>66</v>
      </c>
      <c r="Q11" s="10" t="s">
        <v>67</v>
      </c>
    </row>
    <row r="13" spans="2:30" ht="18" x14ac:dyDescent="0.35">
      <c r="B13" s="4" t="s">
        <v>41</v>
      </c>
      <c r="C13" s="3" t="s">
        <v>184</v>
      </c>
      <c r="E13" s="4" t="s">
        <v>41</v>
      </c>
      <c r="F13" s="3" t="s">
        <v>68</v>
      </c>
      <c r="G13" s="3" t="s">
        <v>69</v>
      </c>
      <c r="H13" s="3" t="s">
        <v>70</v>
      </c>
      <c r="I13" s="3" t="s">
        <v>71</v>
      </c>
      <c r="K13" s="4" t="s">
        <v>41</v>
      </c>
      <c r="L13" s="3" t="s">
        <v>72</v>
      </c>
      <c r="M13" s="3" t="s">
        <v>73</v>
      </c>
      <c r="N13" s="3" t="s">
        <v>74</v>
      </c>
      <c r="O13" s="3" t="s">
        <v>75</v>
      </c>
      <c r="Q13" s="4" t="s">
        <v>41</v>
      </c>
      <c r="R13" t="s">
        <v>76</v>
      </c>
      <c r="S13" t="s">
        <v>77</v>
      </c>
      <c r="T13" t="s">
        <v>78</v>
      </c>
      <c r="U13" t="s">
        <v>79</v>
      </c>
      <c r="V13" t="s">
        <v>80</v>
      </c>
      <c r="W13" t="s">
        <v>81</v>
      </c>
      <c r="X13" t="s">
        <v>82</v>
      </c>
      <c r="Y13" t="s">
        <v>83</v>
      </c>
      <c r="Z13" t="s">
        <v>84</v>
      </c>
      <c r="AA13" t="s">
        <v>85</v>
      </c>
      <c r="AB13" t="s">
        <v>86</v>
      </c>
      <c r="AC13" t="s">
        <v>87</v>
      </c>
      <c r="AD13" t="s">
        <v>88</v>
      </c>
    </row>
    <row r="14" spans="2:30" x14ac:dyDescent="0.25">
      <c r="B14" s="5">
        <v>1</v>
      </c>
      <c r="C14">
        <v>1</v>
      </c>
      <c r="E14" s="5">
        <v>1</v>
      </c>
      <c r="F14" s="21">
        <v>106.3</v>
      </c>
      <c r="G14" s="21" t="s">
        <v>89</v>
      </c>
      <c r="H14" s="21" t="s">
        <v>89</v>
      </c>
      <c r="I14" s="21" t="s">
        <v>89</v>
      </c>
      <c r="K14" s="5">
        <v>1</v>
      </c>
      <c r="L14">
        <v>1.2496</v>
      </c>
      <c r="M14" t="s">
        <v>89</v>
      </c>
      <c r="N14" t="s">
        <v>89</v>
      </c>
      <c r="O14" t="s">
        <v>89</v>
      </c>
      <c r="Q14" s="5">
        <v>1</v>
      </c>
      <c r="R14" s="44" t="s">
        <v>90</v>
      </c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6"/>
    </row>
    <row r="15" spans="2:30" x14ac:dyDescent="0.25">
      <c r="B15" s="5">
        <v>2</v>
      </c>
      <c r="C15">
        <v>0</v>
      </c>
      <c r="E15" s="5">
        <v>2</v>
      </c>
      <c r="F15" s="21" t="s">
        <v>89</v>
      </c>
      <c r="G15" s="21" t="s">
        <v>89</v>
      </c>
      <c r="H15" s="21" t="s">
        <v>89</v>
      </c>
      <c r="I15" s="21" t="s">
        <v>89</v>
      </c>
      <c r="K15" s="5">
        <v>2</v>
      </c>
      <c r="L15" t="s">
        <v>89</v>
      </c>
      <c r="M15" t="s">
        <v>89</v>
      </c>
      <c r="N15" t="s">
        <v>89</v>
      </c>
      <c r="O15" t="s">
        <v>89</v>
      </c>
      <c r="Q15" s="5">
        <v>2</v>
      </c>
      <c r="R15" s="47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9"/>
    </row>
    <row r="16" spans="2:30" x14ac:dyDescent="0.25">
      <c r="B16" s="5">
        <v>3</v>
      </c>
      <c r="C16">
        <v>2</v>
      </c>
      <c r="E16" s="5">
        <v>3</v>
      </c>
      <c r="F16" s="21">
        <v>95.1</v>
      </c>
      <c r="G16" s="21">
        <v>102.3</v>
      </c>
      <c r="H16" s="21" t="s">
        <v>89</v>
      </c>
      <c r="I16" s="21" t="s">
        <v>89</v>
      </c>
      <c r="K16" s="5">
        <v>3</v>
      </c>
      <c r="L16">
        <v>0.4032</v>
      </c>
      <c r="M16">
        <v>1.089</v>
      </c>
      <c r="N16" t="s">
        <v>89</v>
      </c>
      <c r="O16" t="s">
        <v>89</v>
      </c>
      <c r="Q16" s="5">
        <v>3</v>
      </c>
      <c r="R16" s="47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9"/>
    </row>
    <row r="17" spans="2:30" x14ac:dyDescent="0.25">
      <c r="B17" s="5">
        <v>4</v>
      </c>
      <c r="C17">
        <v>3</v>
      </c>
      <c r="E17" s="5">
        <v>4</v>
      </c>
      <c r="F17" s="21">
        <v>109</v>
      </c>
      <c r="G17" s="21">
        <v>95.5</v>
      </c>
      <c r="H17" s="21">
        <v>96.5</v>
      </c>
      <c r="I17" s="21" t="s">
        <v>89</v>
      </c>
      <c r="K17" s="5">
        <v>4</v>
      </c>
      <c r="L17">
        <v>0.55689999999999995</v>
      </c>
      <c r="M17">
        <v>0.54159999999999997</v>
      </c>
      <c r="N17">
        <v>5.0275999999999996</v>
      </c>
      <c r="O17" t="s">
        <v>89</v>
      </c>
      <c r="Q17" s="5">
        <v>4</v>
      </c>
      <c r="R17" s="47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9"/>
    </row>
    <row r="18" spans="2:30" x14ac:dyDescent="0.25">
      <c r="B18" s="5">
        <v>5</v>
      </c>
      <c r="C18">
        <v>1</v>
      </c>
      <c r="E18" s="5">
        <v>5</v>
      </c>
      <c r="F18" s="21">
        <v>101.1</v>
      </c>
      <c r="G18" s="21"/>
      <c r="H18" s="21"/>
      <c r="I18" s="21"/>
      <c r="K18" s="5">
        <v>5</v>
      </c>
      <c r="L18">
        <v>3.3944999999999999</v>
      </c>
      <c r="M18" t="s">
        <v>89</v>
      </c>
      <c r="N18" t="s">
        <v>89</v>
      </c>
      <c r="O18" t="s">
        <v>89</v>
      </c>
      <c r="Q18" s="5">
        <v>5</v>
      </c>
      <c r="R18" s="50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2"/>
    </row>
    <row r="19" spans="2:30" x14ac:dyDescent="0.25">
      <c r="B19" s="5">
        <v>6</v>
      </c>
      <c r="C19">
        <v>0</v>
      </c>
      <c r="E19" s="5">
        <v>6</v>
      </c>
      <c r="F19" s="21"/>
      <c r="G19" s="21"/>
      <c r="H19" s="21"/>
      <c r="I19" s="21"/>
      <c r="K19" s="5">
        <v>6</v>
      </c>
      <c r="L19" t="s">
        <v>89</v>
      </c>
      <c r="M19" t="s">
        <v>89</v>
      </c>
      <c r="N19" t="s">
        <v>89</v>
      </c>
      <c r="O19" t="s">
        <v>89</v>
      </c>
      <c r="Q19" s="5">
        <v>6</v>
      </c>
      <c r="R19" s="22">
        <v>200</v>
      </c>
      <c r="S19" s="22">
        <v>210</v>
      </c>
      <c r="T19" s="22">
        <v>220</v>
      </c>
      <c r="U19" s="22">
        <v>230</v>
      </c>
      <c r="V19" s="22">
        <v>240</v>
      </c>
      <c r="W19" s="22">
        <v>250</v>
      </c>
      <c r="X19" s="22">
        <v>260</v>
      </c>
      <c r="Y19" s="22">
        <v>270</v>
      </c>
      <c r="Z19" s="22">
        <v>280</v>
      </c>
      <c r="AA19" s="22">
        <v>290</v>
      </c>
      <c r="AB19" s="22">
        <v>300</v>
      </c>
      <c r="AC19" s="22">
        <v>310</v>
      </c>
      <c r="AD19" s="22">
        <v>320</v>
      </c>
    </row>
    <row r="20" spans="2:30" x14ac:dyDescent="0.25">
      <c r="B20" s="5">
        <v>7</v>
      </c>
      <c r="C20">
        <v>0</v>
      </c>
      <c r="E20" s="5">
        <v>7</v>
      </c>
      <c r="F20" s="21" t="s">
        <v>89</v>
      </c>
      <c r="G20" s="21" t="s">
        <v>89</v>
      </c>
      <c r="H20" s="21" t="s">
        <v>89</v>
      </c>
      <c r="I20" s="21" t="s">
        <v>89</v>
      </c>
      <c r="K20" s="5">
        <v>7</v>
      </c>
      <c r="L20" t="s">
        <v>89</v>
      </c>
      <c r="M20" t="s">
        <v>89</v>
      </c>
      <c r="N20" t="s">
        <v>89</v>
      </c>
      <c r="O20" t="s">
        <v>89</v>
      </c>
      <c r="Q20" s="5">
        <v>7</v>
      </c>
      <c r="R20" s="22">
        <v>200</v>
      </c>
      <c r="S20" s="22">
        <v>210</v>
      </c>
      <c r="T20" s="22">
        <v>220</v>
      </c>
      <c r="U20" s="22">
        <v>230</v>
      </c>
      <c r="V20" s="22">
        <v>240</v>
      </c>
      <c r="W20" s="22">
        <v>250</v>
      </c>
      <c r="X20" s="22">
        <v>260</v>
      </c>
      <c r="Y20" s="22">
        <v>270</v>
      </c>
      <c r="Z20" s="22">
        <v>280</v>
      </c>
      <c r="AA20" s="22">
        <v>290</v>
      </c>
      <c r="AB20" s="22">
        <v>300</v>
      </c>
      <c r="AC20" s="22">
        <v>310</v>
      </c>
      <c r="AD20" s="22">
        <v>320</v>
      </c>
    </row>
    <row r="21" spans="2:30" x14ac:dyDescent="0.25">
      <c r="B21" s="5">
        <v>8</v>
      </c>
      <c r="C21">
        <v>1</v>
      </c>
      <c r="E21" s="5">
        <v>8</v>
      </c>
      <c r="F21" s="21">
        <v>98.4</v>
      </c>
      <c r="G21" s="21" t="s">
        <v>89</v>
      </c>
      <c r="H21" s="21" t="s">
        <v>89</v>
      </c>
      <c r="I21" s="21" t="s">
        <v>89</v>
      </c>
      <c r="K21" s="5">
        <v>8</v>
      </c>
      <c r="L21">
        <v>0.34420000000000001</v>
      </c>
      <c r="M21" t="s">
        <v>89</v>
      </c>
      <c r="N21" t="s">
        <v>89</v>
      </c>
      <c r="O21" t="s">
        <v>89</v>
      </c>
      <c r="Q21" s="5">
        <v>8</v>
      </c>
      <c r="R21" s="22">
        <v>200</v>
      </c>
      <c r="S21" s="22">
        <v>111.61872747778732</v>
      </c>
      <c r="T21" s="22">
        <v>121.61872747778732</v>
      </c>
      <c r="U21" s="22">
        <v>131.61872747778733</v>
      </c>
      <c r="V21" s="22">
        <v>141.61872747778733</v>
      </c>
      <c r="W21" s="22">
        <v>151.61872747778733</v>
      </c>
      <c r="X21" s="22">
        <v>161.61872747778733</v>
      </c>
      <c r="Y21" s="22">
        <v>171.61872747778733</v>
      </c>
      <c r="Z21" s="22">
        <v>181.61872747778733</v>
      </c>
      <c r="AA21" s="22">
        <v>191.61872747778733</v>
      </c>
      <c r="AB21" s="22">
        <v>201.61872747778733</v>
      </c>
      <c r="AC21" s="22">
        <v>211.61872747778733</v>
      </c>
      <c r="AD21" s="22">
        <v>221.61872747778733</v>
      </c>
    </row>
    <row r="22" spans="2:30" x14ac:dyDescent="0.25">
      <c r="B22" s="5">
        <v>9</v>
      </c>
      <c r="C22">
        <v>2</v>
      </c>
      <c r="E22" s="5">
        <v>9</v>
      </c>
      <c r="F22" s="21">
        <v>99</v>
      </c>
      <c r="G22" s="21">
        <v>99.3</v>
      </c>
      <c r="H22" s="21" t="s">
        <v>89</v>
      </c>
      <c r="I22" s="21" t="s">
        <v>89</v>
      </c>
      <c r="K22" s="5">
        <v>9</v>
      </c>
      <c r="L22">
        <v>0.60660000000000003</v>
      </c>
      <c r="M22">
        <v>1.0250999999999999</v>
      </c>
      <c r="N22" t="s">
        <v>89</v>
      </c>
      <c r="O22" t="s">
        <v>89</v>
      </c>
      <c r="Q22" s="5">
        <v>9</v>
      </c>
      <c r="R22" s="22">
        <v>200</v>
      </c>
      <c r="S22" s="22">
        <v>110.99675765987682</v>
      </c>
      <c r="T22" s="22">
        <v>21.677505808422325</v>
      </c>
      <c r="U22" s="22">
        <v>31.677505808422325</v>
      </c>
      <c r="V22" s="22">
        <v>41.677505808422325</v>
      </c>
      <c r="W22" s="22">
        <v>51.677505808422325</v>
      </c>
      <c r="X22" s="22">
        <v>61.677505808422325</v>
      </c>
      <c r="Y22" s="22">
        <v>71.677505808422325</v>
      </c>
      <c r="Z22" s="22">
        <v>81.677505808422325</v>
      </c>
      <c r="AA22" s="22">
        <v>91.677505808422325</v>
      </c>
      <c r="AB22" s="22">
        <v>101.67750580842232</v>
      </c>
      <c r="AC22" s="22">
        <v>111.67750580842232</v>
      </c>
      <c r="AD22" s="22">
        <v>121.67750580842232</v>
      </c>
    </row>
    <row r="23" spans="2:30" x14ac:dyDescent="0.25">
      <c r="B23" s="5">
        <v>10</v>
      </c>
      <c r="C23">
        <v>0</v>
      </c>
      <c r="E23" s="5">
        <v>10</v>
      </c>
      <c r="F23" s="21" t="s">
        <v>89</v>
      </c>
      <c r="G23" s="21" t="s">
        <v>89</v>
      </c>
      <c r="H23" s="21" t="s">
        <v>89</v>
      </c>
      <c r="I23" s="21" t="s">
        <v>89</v>
      </c>
      <c r="K23" s="5">
        <v>10</v>
      </c>
      <c r="L23" t="s">
        <v>89</v>
      </c>
      <c r="M23" t="s">
        <v>89</v>
      </c>
      <c r="N23" t="s">
        <v>89</v>
      </c>
      <c r="O23" t="s">
        <v>89</v>
      </c>
      <c r="Q23" s="5">
        <v>10</v>
      </c>
      <c r="R23" s="22">
        <v>200</v>
      </c>
      <c r="S23" s="22">
        <v>210</v>
      </c>
      <c r="T23" s="22">
        <v>220</v>
      </c>
      <c r="U23" s="22">
        <v>230</v>
      </c>
      <c r="V23" s="22">
        <v>240</v>
      </c>
      <c r="W23" s="22">
        <v>250</v>
      </c>
      <c r="X23" s="22">
        <v>260</v>
      </c>
      <c r="Y23" s="22">
        <v>270</v>
      </c>
      <c r="Z23" s="22">
        <v>280</v>
      </c>
      <c r="AA23" s="22">
        <v>290</v>
      </c>
      <c r="AB23" s="22">
        <v>300</v>
      </c>
      <c r="AC23" s="22">
        <v>310</v>
      </c>
      <c r="AD23" s="22">
        <v>320</v>
      </c>
    </row>
    <row r="24" spans="2:30" x14ac:dyDescent="0.25">
      <c r="B24" s="5">
        <v>11</v>
      </c>
      <c r="C24">
        <v>0</v>
      </c>
      <c r="E24" s="5">
        <v>11</v>
      </c>
      <c r="F24" s="21" t="s">
        <v>89</v>
      </c>
      <c r="G24" s="21" t="s">
        <v>89</v>
      </c>
      <c r="H24" s="21" t="s">
        <v>89</v>
      </c>
      <c r="I24" s="21" t="s">
        <v>89</v>
      </c>
      <c r="K24" s="5">
        <v>11</v>
      </c>
      <c r="L24" t="s">
        <v>89</v>
      </c>
      <c r="M24" t="s">
        <v>89</v>
      </c>
      <c r="N24" t="s">
        <v>89</v>
      </c>
      <c r="O24" t="s">
        <v>89</v>
      </c>
      <c r="Q24" s="5">
        <v>11</v>
      </c>
      <c r="R24" s="22">
        <v>200</v>
      </c>
      <c r="S24" s="22">
        <v>210</v>
      </c>
      <c r="T24" s="22">
        <v>220</v>
      </c>
      <c r="U24" s="22">
        <v>230</v>
      </c>
      <c r="V24" s="22">
        <v>240</v>
      </c>
      <c r="W24" s="22">
        <v>250</v>
      </c>
      <c r="X24" s="22">
        <v>260</v>
      </c>
      <c r="Y24" s="22">
        <v>270</v>
      </c>
      <c r="Z24" s="22">
        <v>280</v>
      </c>
      <c r="AA24" s="22">
        <v>290</v>
      </c>
      <c r="AB24" s="22">
        <v>300</v>
      </c>
      <c r="AC24" s="22">
        <v>310</v>
      </c>
      <c r="AD24" s="22">
        <v>320</v>
      </c>
    </row>
    <row r="25" spans="2:30" x14ac:dyDescent="0.25">
      <c r="B25" s="5">
        <v>12</v>
      </c>
      <c r="C25">
        <v>0</v>
      </c>
      <c r="E25" s="5">
        <v>12</v>
      </c>
      <c r="F25" s="21" t="s">
        <v>89</v>
      </c>
      <c r="G25" s="21" t="s">
        <v>89</v>
      </c>
      <c r="H25" s="21" t="s">
        <v>89</v>
      </c>
      <c r="I25" s="21" t="s">
        <v>89</v>
      </c>
      <c r="K25" s="5">
        <v>12</v>
      </c>
      <c r="L25" t="s">
        <v>89</v>
      </c>
      <c r="M25" t="s">
        <v>89</v>
      </c>
      <c r="N25" t="s">
        <v>89</v>
      </c>
      <c r="O25" t="s">
        <v>89</v>
      </c>
      <c r="Q25" s="5">
        <v>12</v>
      </c>
      <c r="R25" s="22">
        <v>200</v>
      </c>
      <c r="S25" s="22">
        <v>210</v>
      </c>
      <c r="T25" s="22">
        <v>220</v>
      </c>
      <c r="U25" s="22">
        <v>230</v>
      </c>
      <c r="V25" s="22">
        <v>240</v>
      </c>
      <c r="W25" s="22">
        <v>250</v>
      </c>
      <c r="X25" s="22">
        <v>260</v>
      </c>
      <c r="Y25" s="22">
        <v>270</v>
      </c>
      <c r="Z25" s="22">
        <v>280</v>
      </c>
      <c r="AA25" s="22">
        <v>290</v>
      </c>
      <c r="AB25" s="22">
        <v>300</v>
      </c>
      <c r="AC25" s="22">
        <v>310</v>
      </c>
      <c r="AD25" s="22">
        <v>320</v>
      </c>
    </row>
    <row r="26" spans="2:30" x14ac:dyDescent="0.25">
      <c r="B26" s="5">
        <v>13</v>
      </c>
      <c r="C26">
        <v>1</v>
      </c>
      <c r="E26" s="5">
        <v>13</v>
      </c>
      <c r="F26" s="21">
        <v>93.6</v>
      </c>
      <c r="G26" s="21" t="s">
        <v>89</v>
      </c>
      <c r="H26" s="21" t="s">
        <v>89</v>
      </c>
      <c r="I26" s="21" t="s">
        <v>89</v>
      </c>
      <c r="K26" s="5">
        <v>13</v>
      </c>
      <c r="L26">
        <v>1.3272999999999999</v>
      </c>
      <c r="M26" t="s">
        <v>89</v>
      </c>
      <c r="N26" t="s">
        <v>89</v>
      </c>
      <c r="O26" t="s">
        <v>89</v>
      </c>
      <c r="Q26" s="5">
        <v>13</v>
      </c>
      <c r="R26" s="22">
        <v>200</v>
      </c>
      <c r="S26" s="22">
        <v>210</v>
      </c>
      <c r="T26" s="22">
        <v>126.44720739279812</v>
      </c>
      <c r="U26" s="22">
        <v>136.44720739279813</v>
      </c>
      <c r="V26" s="22">
        <v>146.44720739279813</v>
      </c>
      <c r="W26" s="22">
        <v>156.44720739279813</v>
      </c>
      <c r="X26" s="22">
        <v>166.44720739279813</v>
      </c>
      <c r="Y26" s="22">
        <v>176.44720739279813</v>
      </c>
      <c r="Z26" s="22">
        <v>186.44720739279813</v>
      </c>
      <c r="AA26" s="22">
        <v>196.44720739279813</v>
      </c>
      <c r="AB26" s="22">
        <v>206.44720739279813</v>
      </c>
      <c r="AC26" s="22">
        <v>216.44720739279813</v>
      </c>
      <c r="AD26" s="22">
        <v>226.44720739279813</v>
      </c>
    </row>
    <row r="27" spans="2:30" x14ac:dyDescent="0.25">
      <c r="B27" s="5">
        <v>14</v>
      </c>
      <c r="C27">
        <v>1</v>
      </c>
      <c r="E27" s="5">
        <v>14</v>
      </c>
      <c r="F27" s="21">
        <v>95.4</v>
      </c>
      <c r="G27" s="21" t="s">
        <v>89</v>
      </c>
      <c r="H27" s="21" t="s">
        <v>89</v>
      </c>
      <c r="I27" s="21" t="s">
        <v>89</v>
      </c>
      <c r="K27" s="5">
        <v>14</v>
      </c>
      <c r="L27">
        <v>1.7912999999999999</v>
      </c>
      <c r="M27" t="s">
        <v>89</v>
      </c>
      <c r="N27" t="s">
        <v>89</v>
      </c>
      <c r="O27" t="s">
        <v>89</v>
      </c>
      <c r="Q27" s="5">
        <v>14</v>
      </c>
      <c r="R27" s="22">
        <v>200</v>
      </c>
      <c r="S27" s="22">
        <v>210</v>
      </c>
      <c r="T27" s="22">
        <v>124.56605976058405</v>
      </c>
      <c r="U27" s="22">
        <v>134.56605976058404</v>
      </c>
      <c r="V27" s="22">
        <v>144.56605976058404</v>
      </c>
      <c r="W27" s="22">
        <v>154.56605976058404</v>
      </c>
      <c r="X27" s="22">
        <v>164.56605976058404</v>
      </c>
      <c r="Y27" s="22">
        <v>174.56605976058404</v>
      </c>
      <c r="Z27" s="22">
        <v>184.56605976058404</v>
      </c>
      <c r="AA27" s="22">
        <v>194.56605976058404</v>
      </c>
      <c r="AB27" s="22">
        <v>204.56605976058404</v>
      </c>
      <c r="AC27" s="22">
        <v>214.56605976058404</v>
      </c>
      <c r="AD27" s="22">
        <v>224.56605976058404</v>
      </c>
    </row>
    <row r="28" spans="2:30" x14ac:dyDescent="0.25">
      <c r="B28" s="5">
        <v>15</v>
      </c>
      <c r="C28">
        <v>0</v>
      </c>
      <c r="E28" s="5">
        <v>15</v>
      </c>
      <c r="F28" s="21" t="s">
        <v>89</v>
      </c>
      <c r="G28" s="21" t="s">
        <v>89</v>
      </c>
      <c r="H28" s="21" t="s">
        <v>89</v>
      </c>
      <c r="I28" s="21" t="s">
        <v>89</v>
      </c>
      <c r="K28" s="5">
        <v>15</v>
      </c>
      <c r="L28" t="s">
        <v>89</v>
      </c>
      <c r="M28" t="s">
        <v>89</v>
      </c>
      <c r="N28" t="s">
        <v>89</v>
      </c>
      <c r="O28" t="s">
        <v>89</v>
      </c>
      <c r="Q28" s="5">
        <v>15</v>
      </c>
      <c r="R28" s="22">
        <v>200</v>
      </c>
      <c r="S28" s="22">
        <v>210</v>
      </c>
      <c r="T28" s="22">
        <v>220</v>
      </c>
      <c r="U28" s="22">
        <v>230</v>
      </c>
      <c r="V28" s="22">
        <v>240</v>
      </c>
      <c r="W28" s="22">
        <v>250</v>
      </c>
      <c r="X28" s="22">
        <v>260</v>
      </c>
      <c r="Y28" s="22">
        <v>270</v>
      </c>
      <c r="Z28" s="22">
        <v>280</v>
      </c>
      <c r="AA28" s="22">
        <v>290</v>
      </c>
      <c r="AB28" s="22">
        <v>300</v>
      </c>
      <c r="AC28" s="22">
        <v>310</v>
      </c>
      <c r="AD28" s="22">
        <v>320</v>
      </c>
    </row>
    <row r="29" spans="2:30" x14ac:dyDescent="0.25">
      <c r="B29" s="5">
        <v>16</v>
      </c>
      <c r="C29">
        <v>0</v>
      </c>
      <c r="E29" s="5">
        <v>16</v>
      </c>
      <c r="F29" s="21" t="s">
        <v>89</v>
      </c>
      <c r="G29" s="21" t="s">
        <v>89</v>
      </c>
      <c r="H29" s="21" t="s">
        <v>89</v>
      </c>
      <c r="I29" s="21" t="s">
        <v>89</v>
      </c>
      <c r="K29" s="5">
        <v>16</v>
      </c>
      <c r="L29" t="s">
        <v>89</v>
      </c>
      <c r="M29" t="s">
        <v>89</v>
      </c>
      <c r="N29" t="s">
        <v>89</v>
      </c>
      <c r="O29" t="s">
        <v>89</v>
      </c>
      <c r="Q29" s="5">
        <v>16</v>
      </c>
      <c r="R29" s="22">
        <v>200</v>
      </c>
      <c r="S29" s="22">
        <v>210</v>
      </c>
      <c r="T29" s="22">
        <v>220</v>
      </c>
      <c r="U29" s="22">
        <v>230</v>
      </c>
      <c r="V29" s="22">
        <v>240</v>
      </c>
      <c r="W29" s="22">
        <v>250</v>
      </c>
      <c r="X29" s="22">
        <v>260</v>
      </c>
      <c r="Y29" s="22">
        <v>270</v>
      </c>
      <c r="Z29" s="22">
        <v>280</v>
      </c>
      <c r="AA29" s="22">
        <v>290</v>
      </c>
      <c r="AB29" s="22">
        <v>300</v>
      </c>
      <c r="AC29" s="22">
        <v>310</v>
      </c>
      <c r="AD29" s="22">
        <v>320</v>
      </c>
    </row>
    <row r="30" spans="2:30" x14ac:dyDescent="0.25">
      <c r="B30" s="5">
        <v>17</v>
      </c>
      <c r="C30">
        <v>0</v>
      </c>
      <c r="E30" s="5">
        <v>17</v>
      </c>
      <c r="F30" s="21" t="s">
        <v>89</v>
      </c>
      <c r="G30" s="21" t="s">
        <v>89</v>
      </c>
      <c r="H30" s="21" t="s">
        <v>89</v>
      </c>
      <c r="I30" s="21" t="s">
        <v>89</v>
      </c>
      <c r="K30" s="5">
        <v>17</v>
      </c>
      <c r="L30" t="s">
        <v>89</v>
      </c>
      <c r="M30" t="s">
        <v>89</v>
      </c>
      <c r="N30" t="s">
        <v>89</v>
      </c>
      <c r="O30" t="s">
        <v>89</v>
      </c>
      <c r="Q30" s="5">
        <v>17</v>
      </c>
      <c r="R30" s="22">
        <v>200</v>
      </c>
      <c r="S30" s="22">
        <v>210</v>
      </c>
      <c r="T30" s="22">
        <v>220</v>
      </c>
      <c r="U30" s="22">
        <v>230</v>
      </c>
      <c r="V30" s="22">
        <v>240</v>
      </c>
      <c r="W30" s="22">
        <v>250</v>
      </c>
      <c r="X30" s="22">
        <v>260</v>
      </c>
      <c r="Y30" s="22">
        <v>270</v>
      </c>
      <c r="Z30" s="22">
        <v>280</v>
      </c>
      <c r="AA30" s="22">
        <v>290</v>
      </c>
      <c r="AB30" s="22">
        <v>300</v>
      </c>
      <c r="AC30" s="22">
        <v>310</v>
      </c>
      <c r="AD30" s="22">
        <v>320</v>
      </c>
    </row>
    <row r="31" spans="2:30" x14ac:dyDescent="0.25">
      <c r="B31" s="5">
        <v>18</v>
      </c>
      <c r="C31">
        <v>1</v>
      </c>
      <c r="E31" s="5">
        <v>18</v>
      </c>
      <c r="F31" s="21">
        <v>100.5</v>
      </c>
      <c r="G31" s="21" t="s">
        <v>89</v>
      </c>
      <c r="H31" s="21" t="s">
        <v>89</v>
      </c>
      <c r="I31" s="21" t="s">
        <v>89</v>
      </c>
      <c r="K31" s="5">
        <v>18</v>
      </c>
      <c r="L31">
        <v>4.2149000000000001</v>
      </c>
      <c r="M31" t="s">
        <v>89</v>
      </c>
      <c r="N31" t="s">
        <v>89</v>
      </c>
      <c r="O31" t="s">
        <v>89</v>
      </c>
      <c r="Q31" s="5">
        <v>18</v>
      </c>
      <c r="R31" s="22">
        <v>200</v>
      </c>
      <c r="S31" s="22">
        <v>210</v>
      </c>
      <c r="T31" s="22">
        <v>220</v>
      </c>
      <c r="U31" s="22">
        <v>230</v>
      </c>
      <c r="V31" s="22">
        <v>240</v>
      </c>
      <c r="W31" s="22">
        <v>149.51781022708201</v>
      </c>
      <c r="X31" s="22">
        <v>159.51781022708201</v>
      </c>
      <c r="Y31" s="22">
        <v>169.51781022708201</v>
      </c>
      <c r="Z31" s="22">
        <v>179.51781022708201</v>
      </c>
      <c r="AA31" s="22">
        <v>189.51781022708201</v>
      </c>
      <c r="AB31" s="22">
        <v>199.51781022708201</v>
      </c>
      <c r="AC31" s="22">
        <v>209.51781022708201</v>
      </c>
      <c r="AD31" s="22">
        <v>219.51781022708201</v>
      </c>
    </row>
    <row r="32" spans="2:30" x14ac:dyDescent="0.25">
      <c r="B32" s="5">
        <v>19</v>
      </c>
      <c r="C32">
        <v>0</v>
      </c>
      <c r="E32" s="5">
        <v>19</v>
      </c>
      <c r="F32" s="21" t="s">
        <v>89</v>
      </c>
      <c r="G32" s="21" t="s">
        <v>89</v>
      </c>
      <c r="H32" s="21" t="s">
        <v>89</v>
      </c>
      <c r="I32" s="21" t="s">
        <v>89</v>
      </c>
      <c r="K32" s="5">
        <v>19</v>
      </c>
      <c r="L32" t="s">
        <v>89</v>
      </c>
      <c r="M32" t="s">
        <v>89</v>
      </c>
      <c r="N32" t="s">
        <v>89</v>
      </c>
      <c r="O32" t="s">
        <v>89</v>
      </c>
      <c r="Q32" s="5">
        <v>19</v>
      </c>
      <c r="R32" s="22">
        <v>200</v>
      </c>
      <c r="S32" s="22">
        <v>210</v>
      </c>
      <c r="T32" s="22">
        <v>220</v>
      </c>
      <c r="U32" s="22">
        <v>230</v>
      </c>
      <c r="V32" s="22">
        <v>240</v>
      </c>
      <c r="W32" s="22">
        <v>250</v>
      </c>
      <c r="X32" s="22">
        <v>260</v>
      </c>
      <c r="Y32" s="22">
        <v>270</v>
      </c>
      <c r="Z32" s="22">
        <v>280</v>
      </c>
      <c r="AA32" s="22">
        <v>290</v>
      </c>
      <c r="AB32" s="22">
        <v>300</v>
      </c>
      <c r="AC32" s="22">
        <v>310</v>
      </c>
      <c r="AD32" s="22">
        <v>320</v>
      </c>
    </row>
    <row r="33" spans="2:30" x14ac:dyDescent="0.25">
      <c r="B33" s="5">
        <v>20</v>
      </c>
      <c r="C33">
        <v>0</v>
      </c>
      <c r="E33" s="5">
        <v>20</v>
      </c>
      <c r="F33" s="21" t="s">
        <v>89</v>
      </c>
      <c r="G33" s="21" t="s">
        <v>89</v>
      </c>
      <c r="H33" s="21" t="s">
        <v>89</v>
      </c>
      <c r="I33" s="21" t="s">
        <v>89</v>
      </c>
      <c r="K33" s="5">
        <v>20</v>
      </c>
      <c r="L33" t="s">
        <v>89</v>
      </c>
      <c r="M33" t="s">
        <v>89</v>
      </c>
      <c r="N33" t="s">
        <v>89</v>
      </c>
      <c r="O33" t="s">
        <v>89</v>
      </c>
      <c r="Q33" s="5">
        <v>20</v>
      </c>
      <c r="R33" s="22">
        <v>200</v>
      </c>
      <c r="S33" s="22">
        <v>210</v>
      </c>
      <c r="T33" s="22">
        <v>220</v>
      </c>
      <c r="U33" s="22">
        <v>230</v>
      </c>
      <c r="V33" s="22">
        <v>240</v>
      </c>
      <c r="W33" s="22">
        <v>250</v>
      </c>
      <c r="X33" s="22">
        <v>260</v>
      </c>
      <c r="Y33" s="22">
        <v>270</v>
      </c>
      <c r="Z33" s="22">
        <v>280</v>
      </c>
      <c r="AA33" s="22">
        <v>290</v>
      </c>
      <c r="AB33" s="22">
        <v>300</v>
      </c>
      <c r="AC33" s="22">
        <v>310</v>
      </c>
      <c r="AD33" s="22">
        <v>320</v>
      </c>
    </row>
    <row r="34" spans="2:30" x14ac:dyDescent="0.25">
      <c r="B34" s="5">
        <v>21</v>
      </c>
      <c r="C34">
        <v>0</v>
      </c>
      <c r="E34" s="5">
        <v>21</v>
      </c>
      <c r="F34" s="21" t="s">
        <v>89</v>
      </c>
      <c r="G34" s="21" t="s">
        <v>89</v>
      </c>
      <c r="H34" s="21" t="s">
        <v>89</v>
      </c>
      <c r="I34" s="21" t="s">
        <v>89</v>
      </c>
      <c r="K34" s="5">
        <v>21</v>
      </c>
      <c r="L34" t="s">
        <v>89</v>
      </c>
      <c r="M34" t="s">
        <v>89</v>
      </c>
      <c r="N34" t="s">
        <v>89</v>
      </c>
      <c r="O34" t="s">
        <v>89</v>
      </c>
      <c r="Q34" s="5">
        <v>21</v>
      </c>
      <c r="R34" s="22">
        <v>200</v>
      </c>
      <c r="S34" s="22">
        <v>210</v>
      </c>
      <c r="T34" s="22">
        <v>220</v>
      </c>
      <c r="U34" s="22">
        <v>230</v>
      </c>
      <c r="V34" s="22">
        <v>240</v>
      </c>
      <c r="W34" s="22">
        <v>250</v>
      </c>
      <c r="X34" s="22">
        <v>260</v>
      </c>
      <c r="Y34" s="22">
        <v>270</v>
      </c>
      <c r="Z34" s="22">
        <v>280</v>
      </c>
      <c r="AA34" s="22">
        <v>290</v>
      </c>
      <c r="AB34" s="22">
        <v>300</v>
      </c>
      <c r="AC34" s="22">
        <v>310</v>
      </c>
      <c r="AD34" s="22">
        <v>320</v>
      </c>
    </row>
    <row r="35" spans="2:30" x14ac:dyDescent="0.25">
      <c r="B35" s="5">
        <v>22</v>
      </c>
      <c r="C35">
        <v>1</v>
      </c>
      <c r="E35" s="5">
        <v>22</v>
      </c>
      <c r="F35" s="21">
        <v>106.4</v>
      </c>
      <c r="G35" s="21" t="s">
        <v>89</v>
      </c>
      <c r="H35" s="21" t="s">
        <v>89</v>
      </c>
      <c r="I35" s="21" t="s">
        <v>89</v>
      </c>
      <c r="K35" s="5">
        <v>22</v>
      </c>
      <c r="L35">
        <v>0.81530000000000002</v>
      </c>
      <c r="M35" t="s">
        <v>89</v>
      </c>
      <c r="N35" t="s">
        <v>89</v>
      </c>
      <c r="O35" t="s">
        <v>89</v>
      </c>
      <c r="Q35" s="5">
        <v>22</v>
      </c>
      <c r="R35" s="22">
        <v>200</v>
      </c>
      <c r="S35" s="22">
        <v>103.62206258804933</v>
      </c>
      <c r="T35" s="22">
        <v>113.62206258804933</v>
      </c>
      <c r="U35" s="22">
        <v>123.62206258804933</v>
      </c>
      <c r="V35" s="22">
        <v>133.62206258804935</v>
      </c>
      <c r="W35" s="22">
        <v>143.62206258804935</v>
      </c>
      <c r="X35" s="22">
        <v>153.62206258804935</v>
      </c>
      <c r="Y35" s="22">
        <v>163.62206258804935</v>
      </c>
      <c r="Z35" s="22">
        <v>173.62206258804935</v>
      </c>
      <c r="AA35" s="22">
        <v>183.62206258804935</v>
      </c>
      <c r="AB35" s="22">
        <v>193.62206258804935</v>
      </c>
      <c r="AC35" s="22">
        <v>203.62206258804935</v>
      </c>
      <c r="AD35" s="22">
        <v>213.62206258804935</v>
      </c>
    </row>
    <row r="36" spans="2:30" x14ac:dyDescent="0.25">
      <c r="B36" s="5">
        <v>23</v>
      </c>
      <c r="C36">
        <v>2</v>
      </c>
      <c r="E36" s="5">
        <v>23</v>
      </c>
      <c r="F36" s="21">
        <v>92.7</v>
      </c>
      <c r="G36" s="21">
        <v>90.9</v>
      </c>
      <c r="H36" s="21" t="s">
        <v>89</v>
      </c>
      <c r="I36" s="21" t="s">
        <v>89</v>
      </c>
      <c r="K36" s="5">
        <v>23</v>
      </c>
      <c r="L36">
        <v>5.6588000000000003</v>
      </c>
      <c r="M36">
        <v>5.6237000000000004</v>
      </c>
      <c r="N36" t="s">
        <v>89</v>
      </c>
      <c r="O36" t="s">
        <v>89</v>
      </c>
      <c r="Q36" s="5">
        <v>23</v>
      </c>
      <c r="R36" s="22">
        <v>200</v>
      </c>
      <c r="S36" s="22">
        <v>210</v>
      </c>
      <c r="T36" s="22">
        <v>220</v>
      </c>
      <c r="U36" s="22">
        <v>230</v>
      </c>
      <c r="V36" s="22">
        <v>240</v>
      </c>
      <c r="W36" s="22">
        <v>250</v>
      </c>
      <c r="X36" s="22">
        <v>167.33484641820536</v>
      </c>
      <c r="Y36" s="22">
        <v>177.33484641820536</v>
      </c>
      <c r="Z36" s="22">
        <v>187.33484641820536</v>
      </c>
      <c r="AA36" s="22">
        <v>197.33484641820536</v>
      </c>
      <c r="AB36" s="22">
        <v>207.33484641820536</v>
      </c>
      <c r="AC36" s="22">
        <v>217.33484641820536</v>
      </c>
      <c r="AD36" s="22">
        <v>136.39237972244962</v>
      </c>
    </row>
    <row r="37" spans="2:30" x14ac:dyDescent="0.25">
      <c r="B37" s="5">
        <v>24</v>
      </c>
      <c r="C37">
        <v>0</v>
      </c>
      <c r="E37" s="5">
        <v>24</v>
      </c>
      <c r="F37" s="21" t="s">
        <v>89</v>
      </c>
      <c r="G37" s="21" t="s">
        <v>89</v>
      </c>
      <c r="H37" s="21" t="s">
        <v>89</v>
      </c>
      <c r="I37" s="21" t="s">
        <v>89</v>
      </c>
      <c r="K37" s="5">
        <v>24</v>
      </c>
      <c r="L37" t="s">
        <v>89</v>
      </c>
      <c r="M37" t="s">
        <v>89</v>
      </c>
      <c r="N37" t="s">
        <v>89</v>
      </c>
      <c r="O37" t="s">
        <v>89</v>
      </c>
      <c r="Q37" s="5">
        <v>24</v>
      </c>
      <c r="R37" s="22">
        <v>200</v>
      </c>
      <c r="S37" s="22">
        <v>210</v>
      </c>
      <c r="T37" s="22">
        <v>220</v>
      </c>
      <c r="U37" s="22">
        <v>230</v>
      </c>
      <c r="V37" s="22">
        <v>240</v>
      </c>
      <c r="W37" s="22">
        <v>250</v>
      </c>
      <c r="X37" s="22">
        <v>260</v>
      </c>
      <c r="Y37" s="22">
        <v>270</v>
      </c>
      <c r="Z37" s="22">
        <v>280</v>
      </c>
      <c r="AA37" s="22">
        <v>290</v>
      </c>
      <c r="AB37" s="22">
        <v>300</v>
      </c>
      <c r="AC37" s="22">
        <v>310</v>
      </c>
      <c r="AD37" s="22">
        <v>320</v>
      </c>
    </row>
    <row r="38" spans="2:30" x14ac:dyDescent="0.25">
      <c r="B38" s="5">
        <v>25</v>
      </c>
      <c r="C38">
        <v>1</v>
      </c>
      <c r="E38" s="5">
        <v>25</v>
      </c>
      <c r="F38" s="21">
        <v>111.3</v>
      </c>
      <c r="G38" s="21" t="s">
        <v>89</v>
      </c>
      <c r="H38" s="21" t="s">
        <v>89</v>
      </c>
      <c r="I38" s="21" t="s">
        <v>89</v>
      </c>
      <c r="K38" s="5">
        <v>25</v>
      </c>
      <c r="L38">
        <v>0.5615</v>
      </c>
      <c r="M38" t="s">
        <v>89</v>
      </c>
      <c r="N38" t="s">
        <v>89</v>
      </c>
      <c r="O38" t="s">
        <v>89</v>
      </c>
      <c r="Q38" s="5">
        <v>25</v>
      </c>
      <c r="R38" s="22">
        <v>200</v>
      </c>
      <c r="S38" s="22">
        <v>98.7381969958018</v>
      </c>
      <c r="T38" s="22">
        <v>108.7381969958018</v>
      </c>
      <c r="U38" s="22">
        <v>118.7381969958018</v>
      </c>
      <c r="V38" s="22">
        <v>128.73819699580179</v>
      </c>
      <c r="W38" s="22">
        <v>138.73819699580179</v>
      </c>
      <c r="X38" s="22">
        <v>148.73819699580179</v>
      </c>
      <c r="Y38" s="22">
        <v>158.73819699580179</v>
      </c>
      <c r="Z38" s="22">
        <v>168.73819699580179</v>
      </c>
      <c r="AA38" s="22">
        <v>178.73819699580179</v>
      </c>
      <c r="AB38" s="22">
        <v>188.73819699580179</v>
      </c>
      <c r="AC38" s="22">
        <v>198.73819699580179</v>
      </c>
      <c r="AD38" s="22">
        <v>208.73819699580179</v>
      </c>
    </row>
    <row r="39" spans="2:30" x14ac:dyDescent="0.25">
      <c r="B39" s="5">
        <v>26</v>
      </c>
      <c r="C39">
        <v>1</v>
      </c>
      <c r="E39" s="5">
        <v>26</v>
      </c>
      <c r="F39" s="21">
        <v>104</v>
      </c>
      <c r="G39" s="21" t="s">
        <v>89</v>
      </c>
      <c r="H39" s="21" t="s">
        <v>89</v>
      </c>
      <c r="I39" s="21" t="s">
        <v>89</v>
      </c>
      <c r="K39" s="5">
        <v>26</v>
      </c>
      <c r="L39">
        <v>1.4694</v>
      </c>
      <c r="M39" t="s">
        <v>89</v>
      </c>
      <c r="N39" t="s">
        <v>89</v>
      </c>
      <c r="O39" t="s">
        <v>89</v>
      </c>
      <c r="Q39" s="5">
        <v>26</v>
      </c>
      <c r="R39" s="22">
        <v>200</v>
      </c>
      <c r="S39" s="22">
        <v>210</v>
      </c>
      <c r="T39" s="22">
        <v>116.04675909334095</v>
      </c>
      <c r="U39" s="22">
        <v>126.04675909334095</v>
      </c>
      <c r="V39" s="22">
        <v>136.04675909334094</v>
      </c>
      <c r="W39" s="22">
        <v>146.04675909334094</v>
      </c>
      <c r="X39" s="22">
        <v>156.04675909334094</v>
      </c>
      <c r="Y39" s="22">
        <v>166.04675909334094</v>
      </c>
      <c r="Z39" s="22">
        <v>176.04675909334094</v>
      </c>
      <c r="AA39" s="22">
        <v>186.04675909334094</v>
      </c>
      <c r="AB39" s="22">
        <v>196.04675909334094</v>
      </c>
      <c r="AC39" s="22">
        <v>206.04675909334094</v>
      </c>
      <c r="AD39" s="22">
        <v>216.04675909334094</v>
      </c>
    </row>
    <row r="40" spans="2:30" x14ac:dyDescent="0.25">
      <c r="B40" s="5">
        <v>27</v>
      </c>
      <c r="C40">
        <v>0</v>
      </c>
      <c r="E40" s="5">
        <v>27</v>
      </c>
      <c r="F40" s="21" t="s">
        <v>89</v>
      </c>
      <c r="G40" s="21" t="s">
        <v>89</v>
      </c>
      <c r="H40" s="21" t="s">
        <v>89</v>
      </c>
      <c r="I40" s="21" t="s">
        <v>89</v>
      </c>
      <c r="K40" s="5">
        <v>27</v>
      </c>
      <c r="L40" t="s">
        <v>89</v>
      </c>
      <c r="M40" t="s">
        <v>89</v>
      </c>
      <c r="N40" t="s">
        <v>89</v>
      </c>
      <c r="O40" t="s">
        <v>89</v>
      </c>
      <c r="Q40" s="5">
        <v>27</v>
      </c>
      <c r="R40" s="22">
        <v>200</v>
      </c>
      <c r="S40" s="22">
        <v>210</v>
      </c>
      <c r="T40" s="22">
        <v>220</v>
      </c>
      <c r="U40" s="22">
        <v>230</v>
      </c>
      <c r="V40" s="22">
        <v>240</v>
      </c>
      <c r="W40" s="22">
        <v>250</v>
      </c>
      <c r="X40" s="22">
        <v>260</v>
      </c>
      <c r="Y40" s="22">
        <v>270</v>
      </c>
      <c r="Z40" s="22">
        <v>280</v>
      </c>
      <c r="AA40" s="22">
        <v>290</v>
      </c>
      <c r="AB40" s="22">
        <v>300</v>
      </c>
      <c r="AC40" s="22">
        <v>310</v>
      </c>
      <c r="AD40" s="22">
        <v>320</v>
      </c>
    </row>
    <row r="41" spans="2:30" x14ac:dyDescent="0.25">
      <c r="B41" s="5">
        <v>28</v>
      </c>
      <c r="C41">
        <v>0</v>
      </c>
      <c r="E41" s="5">
        <v>28</v>
      </c>
      <c r="F41" s="21" t="s">
        <v>89</v>
      </c>
      <c r="G41" s="21" t="s">
        <v>89</v>
      </c>
      <c r="H41" s="21" t="s">
        <v>89</v>
      </c>
      <c r="I41" s="21" t="s">
        <v>89</v>
      </c>
      <c r="K41" s="5">
        <v>28</v>
      </c>
      <c r="L41" t="s">
        <v>89</v>
      </c>
      <c r="M41" t="s">
        <v>89</v>
      </c>
      <c r="N41" t="s">
        <v>89</v>
      </c>
      <c r="O41" t="s">
        <v>89</v>
      </c>
      <c r="Q41" s="5">
        <v>28</v>
      </c>
      <c r="R41" s="22">
        <v>200</v>
      </c>
      <c r="S41" s="22">
        <v>210</v>
      </c>
      <c r="T41" s="22">
        <v>220</v>
      </c>
      <c r="U41" s="22">
        <v>230</v>
      </c>
      <c r="V41" s="22">
        <v>240</v>
      </c>
      <c r="W41" s="22">
        <v>250</v>
      </c>
      <c r="X41" s="22">
        <v>260</v>
      </c>
      <c r="Y41" s="22">
        <v>270</v>
      </c>
      <c r="Z41" s="22">
        <v>280</v>
      </c>
      <c r="AA41" s="22">
        <v>290</v>
      </c>
      <c r="AB41" s="22">
        <v>300</v>
      </c>
      <c r="AC41" s="22">
        <v>310</v>
      </c>
      <c r="AD41" s="22">
        <v>320</v>
      </c>
    </row>
    <row r="42" spans="2:30" x14ac:dyDescent="0.25">
      <c r="B42" s="5">
        <v>29</v>
      </c>
      <c r="C42">
        <v>1</v>
      </c>
      <c r="E42" s="5">
        <v>29</v>
      </c>
      <c r="F42" s="21">
        <v>110.5</v>
      </c>
      <c r="G42" s="21" t="s">
        <v>89</v>
      </c>
      <c r="H42" s="21" t="s">
        <v>89</v>
      </c>
      <c r="I42" s="21" t="s">
        <v>89</v>
      </c>
      <c r="K42" s="5">
        <v>29</v>
      </c>
      <c r="L42">
        <v>3.6499000000000001</v>
      </c>
      <c r="M42" t="s">
        <v>89</v>
      </c>
      <c r="N42" t="s">
        <v>89</v>
      </c>
      <c r="O42" t="s">
        <v>89</v>
      </c>
      <c r="Q42" s="5">
        <v>29</v>
      </c>
      <c r="R42" s="22">
        <v>200</v>
      </c>
      <c r="S42" s="22">
        <v>210</v>
      </c>
      <c r="T42" s="22">
        <v>220</v>
      </c>
      <c r="U42" s="22">
        <v>230</v>
      </c>
      <c r="V42" s="22">
        <v>129.51526548885886</v>
      </c>
      <c r="W42" s="22">
        <v>139.51526548885886</v>
      </c>
      <c r="X42" s="22">
        <v>149.51526548885886</v>
      </c>
      <c r="Y42" s="22">
        <v>159.51526548885886</v>
      </c>
      <c r="Z42" s="22">
        <v>169.51526548885886</v>
      </c>
      <c r="AA42" s="22">
        <v>179.51526548885886</v>
      </c>
      <c r="AB42" s="22">
        <v>189.51526548885886</v>
      </c>
      <c r="AC42" s="22">
        <v>199.51526548885886</v>
      </c>
      <c r="AD42" s="22">
        <v>209.51526548885886</v>
      </c>
    </row>
    <row r="43" spans="2:30" x14ac:dyDescent="0.25">
      <c r="B43" s="5">
        <v>30</v>
      </c>
      <c r="C43">
        <v>0</v>
      </c>
      <c r="E43" s="5">
        <v>30</v>
      </c>
      <c r="F43" s="21" t="s">
        <v>89</v>
      </c>
      <c r="G43" s="21" t="s">
        <v>89</v>
      </c>
      <c r="H43" s="21" t="s">
        <v>89</v>
      </c>
      <c r="I43" s="21" t="s">
        <v>89</v>
      </c>
      <c r="K43" s="5">
        <v>30</v>
      </c>
      <c r="L43" t="s">
        <v>89</v>
      </c>
      <c r="M43" t="s">
        <v>89</v>
      </c>
      <c r="N43" t="s">
        <v>89</v>
      </c>
      <c r="O43" t="s">
        <v>89</v>
      </c>
      <c r="Q43" s="5">
        <v>30</v>
      </c>
      <c r="R43" s="22">
        <v>200</v>
      </c>
      <c r="S43" s="22">
        <v>210</v>
      </c>
      <c r="T43" s="22">
        <v>220</v>
      </c>
      <c r="U43" s="22">
        <v>230</v>
      </c>
      <c r="V43" s="22">
        <v>240</v>
      </c>
      <c r="W43" s="22">
        <v>250</v>
      </c>
      <c r="X43" s="22">
        <v>260</v>
      </c>
      <c r="Y43" s="22">
        <v>270</v>
      </c>
      <c r="Z43" s="22">
        <v>280</v>
      </c>
      <c r="AA43" s="22">
        <v>290</v>
      </c>
      <c r="AB43" s="22">
        <v>300</v>
      </c>
      <c r="AC43" s="22">
        <v>310</v>
      </c>
      <c r="AD43" s="22">
        <v>320</v>
      </c>
    </row>
    <row r="44" spans="2:30" x14ac:dyDescent="0.25">
      <c r="B44" s="5">
        <v>31</v>
      </c>
      <c r="C44">
        <v>1</v>
      </c>
      <c r="E44" s="5">
        <v>31</v>
      </c>
      <c r="F44" s="21">
        <v>102.5</v>
      </c>
      <c r="G44" s="21" t="s">
        <v>89</v>
      </c>
      <c r="H44" s="21" t="s">
        <v>89</v>
      </c>
      <c r="I44" s="21" t="s">
        <v>89</v>
      </c>
      <c r="K44" s="5">
        <v>31</v>
      </c>
      <c r="L44">
        <v>0.60429999999999995</v>
      </c>
      <c r="M44" t="s">
        <v>89</v>
      </c>
      <c r="N44" t="s">
        <v>89</v>
      </c>
      <c r="O44" t="s">
        <v>89</v>
      </c>
      <c r="Q44" s="5">
        <v>31</v>
      </c>
      <c r="R44" s="22">
        <v>200</v>
      </c>
      <c r="S44" s="22">
        <v>107.51698993457207</v>
      </c>
      <c r="T44" s="22">
        <v>117.51698993457207</v>
      </c>
      <c r="U44" s="22">
        <v>127.51698993457207</v>
      </c>
      <c r="V44" s="22">
        <v>137.51698993457205</v>
      </c>
      <c r="W44" s="22">
        <v>147.51698993457205</v>
      </c>
      <c r="X44" s="22">
        <v>157.51698993457205</v>
      </c>
      <c r="Y44" s="22">
        <v>167.51698993457205</v>
      </c>
      <c r="Z44" s="22">
        <v>177.51698993457205</v>
      </c>
      <c r="AA44" s="22">
        <v>187.51698993457205</v>
      </c>
      <c r="AB44" s="22">
        <v>197.51698993457205</v>
      </c>
      <c r="AC44" s="22">
        <v>207.51698993457205</v>
      </c>
      <c r="AD44" s="22">
        <v>217.51698993457205</v>
      </c>
    </row>
    <row r="45" spans="2:30" x14ac:dyDescent="0.25">
      <c r="B45" s="5">
        <v>32</v>
      </c>
      <c r="C45">
        <v>1</v>
      </c>
      <c r="E45" s="5">
        <v>32</v>
      </c>
      <c r="F45" s="21">
        <v>99.8</v>
      </c>
      <c r="G45" s="21" t="s">
        <v>89</v>
      </c>
      <c r="H45" s="21" t="s">
        <v>89</v>
      </c>
      <c r="I45" s="21" t="s">
        <v>89</v>
      </c>
      <c r="K45" s="5">
        <v>32</v>
      </c>
      <c r="L45">
        <v>2.3877000000000002</v>
      </c>
      <c r="M45" t="s">
        <v>89</v>
      </c>
      <c r="N45" t="s">
        <v>89</v>
      </c>
      <c r="O45" t="s">
        <v>89</v>
      </c>
      <c r="Q45" s="5">
        <v>32</v>
      </c>
      <c r="R45" s="22">
        <v>200</v>
      </c>
      <c r="S45" s="22">
        <v>210</v>
      </c>
      <c r="T45" s="22">
        <v>220</v>
      </c>
      <c r="U45" s="22">
        <v>130.20809811025117</v>
      </c>
      <c r="V45" s="22">
        <v>140.20809811025117</v>
      </c>
      <c r="W45" s="22">
        <v>150.20809811025117</v>
      </c>
      <c r="X45" s="22">
        <v>160.20809811025117</v>
      </c>
      <c r="Y45" s="22">
        <v>170.20809811025117</v>
      </c>
      <c r="Z45" s="22">
        <v>180.20809811025117</v>
      </c>
      <c r="AA45" s="22">
        <v>190.20809811025117</v>
      </c>
      <c r="AB45" s="22">
        <v>200.20809811025117</v>
      </c>
      <c r="AC45" s="22">
        <v>210.20809811025117</v>
      </c>
      <c r="AD45" s="22">
        <v>220.20809811025117</v>
      </c>
    </row>
    <row r="46" spans="2:30" x14ac:dyDescent="0.25">
      <c r="B46" s="5">
        <v>33</v>
      </c>
      <c r="C46">
        <v>0</v>
      </c>
      <c r="E46" s="5">
        <v>33</v>
      </c>
      <c r="F46" s="21" t="s">
        <v>89</v>
      </c>
      <c r="G46" s="21" t="s">
        <v>89</v>
      </c>
      <c r="H46" s="21" t="s">
        <v>89</v>
      </c>
      <c r="I46" s="21" t="s">
        <v>89</v>
      </c>
      <c r="K46" s="5">
        <v>33</v>
      </c>
      <c r="L46" t="s">
        <v>89</v>
      </c>
      <c r="M46" t="s">
        <v>89</v>
      </c>
      <c r="N46" t="s">
        <v>89</v>
      </c>
      <c r="O46" t="s">
        <v>89</v>
      </c>
      <c r="Q46" s="5">
        <v>33</v>
      </c>
      <c r="R46" s="22">
        <v>200</v>
      </c>
      <c r="S46" s="22">
        <v>210</v>
      </c>
      <c r="T46" s="22">
        <v>220</v>
      </c>
      <c r="U46" s="22">
        <v>230</v>
      </c>
      <c r="V46" s="22">
        <v>240</v>
      </c>
      <c r="W46" s="22">
        <v>250</v>
      </c>
      <c r="X46" s="22">
        <v>260</v>
      </c>
      <c r="Y46" s="22">
        <v>270</v>
      </c>
      <c r="Z46" s="22">
        <v>280</v>
      </c>
      <c r="AA46" s="22">
        <v>290</v>
      </c>
      <c r="AB46" s="22">
        <v>300</v>
      </c>
      <c r="AC46" s="22">
        <v>310</v>
      </c>
      <c r="AD46" s="22">
        <v>320</v>
      </c>
    </row>
    <row r="47" spans="2:30" x14ac:dyDescent="0.25">
      <c r="B47" s="5">
        <v>34</v>
      </c>
      <c r="C47">
        <v>0</v>
      </c>
      <c r="E47" s="5">
        <v>34</v>
      </c>
      <c r="F47" s="21" t="s">
        <v>89</v>
      </c>
      <c r="G47" s="21" t="s">
        <v>89</v>
      </c>
      <c r="H47" s="21" t="s">
        <v>89</v>
      </c>
      <c r="I47" s="21" t="s">
        <v>89</v>
      </c>
      <c r="K47" s="5">
        <v>34</v>
      </c>
      <c r="L47" t="s">
        <v>89</v>
      </c>
      <c r="M47" t="s">
        <v>89</v>
      </c>
      <c r="N47" t="s">
        <v>89</v>
      </c>
      <c r="O47" t="s">
        <v>89</v>
      </c>
      <c r="Q47" s="5">
        <v>34</v>
      </c>
      <c r="R47" s="22">
        <v>200</v>
      </c>
      <c r="S47" s="22">
        <v>210</v>
      </c>
      <c r="T47" s="22">
        <v>220</v>
      </c>
      <c r="U47" s="22">
        <v>230</v>
      </c>
      <c r="V47" s="22">
        <v>240</v>
      </c>
      <c r="W47" s="22">
        <v>250</v>
      </c>
      <c r="X47" s="22">
        <v>260</v>
      </c>
      <c r="Y47" s="22">
        <v>270</v>
      </c>
      <c r="Z47" s="22">
        <v>280</v>
      </c>
      <c r="AA47" s="22">
        <v>290</v>
      </c>
      <c r="AB47" s="22">
        <v>300</v>
      </c>
      <c r="AC47" s="22">
        <v>310</v>
      </c>
      <c r="AD47" s="22">
        <v>320</v>
      </c>
    </row>
    <row r="48" spans="2:30" x14ac:dyDescent="0.25">
      <c r="B48" s="5">
        <v>35</v>
      </c>
      <c r="C48">
        <v>0</v>
      </c>
      <c r="E48" s="5">
        <v>35</v>
      </c>
      <c r="F48" s="21" t="s">
        <v>89</v>
      </c>
      <c r="G48" s="21" t="s">
        <v>89</v>
      </c>
      <c r="H48" s="21" t="s">
        <v>89</v>
      </c>
      <c r="I48" s="21" t="s">
        <v>89</v>
      </c>
      <c r="K48" s="5">
        <v>35</v>
      </c>
      <c r="L48" t="s">
        <v>89</v>
      </c>
      <c r="M48" t="s">
        <v>89</v>
      </c>
      <c r="N48" t="s">
        <v>89</v>
      </c>
      <c r="O48" t="s">
        <v>89</v>
      </c>
      <c r="Q48" s="5">
        <v>35</v>
      </c>
      <c r="R48" s="22">
        <v>200</v>
      </c>
      <c r="S48" s="22">
        <v>210</v>
      </c>
      <c r="T48" s="22">
        <v>220</v>
      </c>
      <c r="U48" s="22">
        <v>230</v>
      </c>
      <c r="V48" s="22">
        <v>240</v>
      </c>
      <c r="W48" s="22">
        <v>250</v>
      </c>
      <c r="X48" s="22">
        <v>260</v>
      </c>
      <c r="Y48" s="22">
        <v>270</v>
      </c>
      <c r="Z48" s="22">
        <v>280</v>
      </c>
      <c r="AA48" s="22">
        <v>290</v>
      </c>
      <c r="AB48" s="22">
        <v>300</v>
      </c>
      <c r="AC48" s="22">
        <v>310</v>
      </c>
      <c r="AD48" s="22">
        <v>320</v>
      </c>
    </row>
    <row r="49" spans="2:30" x14ac:dyDescent="0.25">
      <c r="B49" s="5">
        <v>36</v>
      </c>
      <c r="C49">
        <v>1</v>
      </c>
      <c r="E49" s="5">
        <v>36</v>
      </c>
      <c r="F49" s="21">
        <v>97.1</v>
      </c>
      <c r="G49" s="21" t="s">
        <v>89</v>
      </c>
      <c r="H49" s="21" t="s">
        <v>89</v>
      </c>
      <c r="I49" s="21" t="s">
        <v>89</v>
      </c>
      <c r="K49" s="5">
        <v>36</v>
      </c>
      <c r="L49">
        <v>2.0257999999999998</v>
      </c>
      <c r="M49" t="s">
        <v>89</v>
      </c>
      <c r="N49" t="s">
        <v>89</v>
      </c>
      <c r="O49" t="s">
        <v>89</v>
      </c>
      <c r="Q49" s="5">
        <v>36</v>
      </c>
      <c r="R49" s="22">
        <v>200</v>
      </c>
      <c r="S49" s="22">
        <v>210</v>
      </c>
      <c r="T49" s="22">
        <v>220</v>
      </c>
      <c r="U49" s="22">
        <v>132.9479495916413</v>
      </c>
      <c r="V49" s="22">
        <v>142.9479495916413</v>
      </c>
      <c r="W49" s="22">
        <v>152.9479495916413</v>
      </c>
      <c r="X49" s="22">
        <v>162.9479495916413</v>
      </c>
      <c r="Y49" s="22">
        <v>172.9479495916413</v>
      </c>
      <c r="Z49" s="22">
        <v>182.9479495916413</v>
      </c>
      <c r="AA49" s="22">
        <v>192.9479495916413</v>
      </c>
      <c r="AB49" s="22">
        <v>202.9479495916413</v>
      </c>
      <c r="AC49" s="22">
        <v>212.9479495916413</v>
      </c>
      <c r="AD49" s="22">
        <v>222.9479495916413</v>
      </c>
    </row>
    <row r="50" spans="2:30" x14ac:dyDescent="0.25">
      <c r="B50" s="5">
        <v>37</v>
      </c>
      <c r="C50">
        <v>0</v>
      </c>
      <c r="E50" s="5">
        <v>37</v>
      </c>
      <c r="F50" s="21" t="s">
        <v>89</v>
      </c>
      <c r="G50" s="21" t="s">
        <v>89</v>
      </c>
      <c r="H50" s="21" t="s">
        <v>89</v>
      </c>
      <c r="I50" s="21" t="s">
        <v>89</v>
      </c>
      <c r="K50" s="5">
        <v>37</v>
      </c>
      <c r="L50" t="s">
        <v>89</v>
      </c>
      <c r="M50" t="s">
        <v>89</v>
      </c>
      <c r="N50" t="s">
        <v>89</v>
      </c>
      <c r="O50" t="s">
        <v>89</v>
      </c>
      <c r="Q50" s="5">
        <v>37</v>
      </c>
      <c r="R50" s="22">
        <v>200</v>
      </c>
      <c r="S50" s="22">
        <v>210</v>
      </c>
      <c r="T50" s="22">
        <v>220</v>
      </c>
      <c r="U50" s="22">
        <v>230</v>
      </c>
      <c r="V50" s="22">
        <v>240</v>
      </c>
      <c r="W50" s="22">
        <v>250</v>
      </c>
      <c r="X50" s="22">
        <v>260</v>
      </c>
      <c r="Y50" s="22">
        <v>270</v>
      </c>
      <c r="Z50" s="22">
        <v>280</v>
      </c>
      <c r="AA50" s="22">
        <v>290</v>
      </c>
      <c r="AB50" s="22">
        <v>300</v>
      </c>
      <c r="AC50" s="22">
        <v>310</v>
      </c>
      <c r="AD50" s="22">
        <v>320</v>
      </c>
    </row>
    <row r="51" spans="2:30" x14ac:dyDescent="0.25">
      <c r="B51" s="5">
        <v>38</v>
      </c>
      <c r="C51">
        <v>0</v>
      </c>
      <c r="E51" s="5">
        <v>38</v>
      </c>
      <c r="F51" s="21" t="s">
        <v>89</v>
      </c>
      <c r="G51" s="21" t="s">
        <v>89</v>
      </c>
      <c r="H51" s="21" t="s">
        <v>89</v>
      </c>
      <c r="I51" s="21" t="s">
        <v>89</v>
      </c>
      <c r="K51" s="5">
        <v>38</v>
      </c>
      <c r="L51" t="s">
        <v>89</v>
      </c>
      <c r="M51" t="s">
        <v>89</v>
      </c>
      <c r="N51" t="s">
        <v>89</v>
      </c>
      <c r="O51" t="s">
        <v>89</v>
      </c>
      <c r="Q51" s="5">
        <v>38</v>
      </c>
      <c r="R51" s="22">
        <v>200</v>
      </c>
      <c r="S51" s="22">
        <v>210</v>
      </c>
      <c r="T51" s="22">
        <v>220</v>
      </c>
      <c r="U51" s="22">
        <v>230</v>
      </c>
      <c r="V51" s="22">
        <v>240</v>
      </c>
      <c r="W51" s="22">
        <v>250</v>
      </c>
      <c r="X51" s="22">
        <v>260</v>
      </c>
      <c r="Y51" s="22">
        <v>270</v>
      </c>
      <c r="Z51" s="22">
        <v>280</v>
      </c>
      <c r="AA51" s="22">
        <v>290</v>
      </c>
      <c r="AB51" s="22">
        <v>300</v>
      </c>
      <c r="AC51" s="22">
        <v>310</v>
      </c>
      <c r="AD51" s="22">
        <v>320</v>
      </c>
    </row>
    <row r="52" spans="2:30" x14ac:dyDescent="0.25">
      <c r="B52" s="5">
        <v>39</v>
      </c>
      <c r="C52">
        <v>0</v>
      </c>
      <c r="E52" s="5">
        <v>39</v>
      </c>
      <c r="F52" s="21" t="s">
        <v>89</v>
      </c>
      <c r="G52" s="21" t="s">
        <v>89</v>
      </c>
      <c r="H52" s="21" t="s">
        <v>89</v>
      </c>
      <c r="I52" s="21" t="s">
        <v>89</v>
      </c>
      <c r="K52" s="5">
        <v>39</v>
      </c>
      <c r="L52" t="s">
        <v>89</v>
      </c>
      <c r="M52" t="s">
        <v>89</v>
      </c>
      <c r="N52" t="s">
        <v>89</v>
      </c>
      <c r="O52" t="s">
        <v>89</v>
      </c>
      <c r="Q52" s="5">
        <v>39</v>
      </c>
      <c r="R52" s="22">
        <v>200</v>
      </c>
      <c r="S52" s="22">
        <v>210</v>
      </c>
      <c r="T52" s="22">
        <v>220</v>
      </c>
      <c r="U52" s="22">
        <v>230</v>
      </c>
      <c r="V52" s="22">
        <v>240</v>
      </c>
      <c r="W52" s="22">
        <v>250</v>
      </c>
      <c r="X52" s="22">
        <v>260</v>
      </c>
      <c r="Y52" s="22">
        <v>270</v>
      </c>
      <c r="Z52" s="22">
        <v>280</v>
      </c>
      <c r="AA52" s="22">
        <v>290</v>
      </c>
      <c r="AB52" s="22">
        <v>300</v>
      </c>
      <c r="AC52" s="22">
        <v>310</v>
      </c>
      <c r="AD52" s="22">
        <v>320</v>
      </c>
    </row>
    <row r="53" spans="2:30" x14ac:dyDescent="0.25">
      <c r="B53" s="5">
        <v>40</v>
      </c>
      <c r="C53">
        <v>0</v>
      </c>
      <c r="E53" s="5">
        <v>40</v>
      </c>
      <c r="F53" s="21" t="s">
        <v>89</v>
      </c>
      <c r="G53" s="21" t="s">
        <v>89</v>
      </c>
      <c r="H53" s="21" t="s">
        <v>89</v>
      </c>
      <c r="I53" s="21" t="s">
        <v>89</v>
      </c>
      <c r="K53" s="5">
        <v>40</v>
      </c>
      <c r="L53" t="s">
        <v>89</v>
      </c>
      <c r="M53" t="s">
        <v>89</v>
      </c>
      <c r="N53" t="s">
        <v>89</v>
      </c>
      <c r="O53" t="s">
        <v>89</v>
      </c>
      <c r="Q53" s="5">
        <v>40</v>
      </c>
      <c r="R53" s="22">
        <v>200</v>
      </c>
      <c r="S53" s="22">
        <v>210</v>
      </c>
      <c r="T53" s="22">
        <v>220</v>
      </c>
      <c r="U53" s="22">
        <v>230</v>
      </c>
      <c r="V53" s="22">
        <v>240</v>
      </c>
      <c r="W53" s="22">
        <v>250</v>
      </c>
      <c r="X53" s="22">
        <v>260</v>
      </c>
      <c r="Y53" s="22">
        <v>270</v>
      </c>
      <c r="Z53" s="22">
        <v>280</v>
      </c>
      <c r="AA53" s="22">
        <v>290</v>
      </c>
      <c r="AB53" s="22">
        <v>300</v>
      </c>
      <c r="AC53" s="22">
        <v>310</v>
      </c>
      <c r="AD53" s="22">
        <v>320</v>
      </c>
    </row>
    <row r="54" spans="2:30" x14ac:dyDescent="0.25">
      <c r="B54" s="5">
        <v>41</v>
      </c>
      <c r="C54">
        <v>0</v>
      </c>
      <c r="E54" s="5">
        <v>41</v>
      </c>
      <c r="F54" s="21" t="s">
        <v>89</v>
      </c>
      <c r="G54" s="21" t="s">
        <v>89</v>
      </c>
      <c r="H54" s="21" t="s">
        <v>89</v>
      </c>
      <c r="I54" s="21" t="s">
        <v>89</v>
      </c>
      <c r="K54" s="5">
        <v>41</v>
      </c>
      <c r="L54" t="s">
        <v>89</v>
      </c>
      <c r="M54" t="s">
        <v>89</v>
      </c>
      <c r="N54" t="s">
        <v>89</v>
      </c>
      <c r="O54" t="s">
        <v>89</v>
      </c>
      <c r="Q54" s="5">
        <v>41</v>
      </c>
      <c r="R54" s="22">
        <v>200</v>
      </c>
      <c r="S54" s="22">
        <v>210</v>
      </c>
      <c r="T54" s="22">
        <v>220</v>
      </c>
      <c r="U54" s="22">
        <v>230</v>
      </c>
      <c r="V54" s="22">
        <v>240</v>
      </c>
      <c r="W54" s="22">
        <v>250</v>
      </c>
      <c r="X54" s="22">
        <v>260</v>
      </c>
      <c r="Y54" s="22">
        <v>270</v>
      </c>
      <c r="Z54" s="22">
        <v>280</v>
      </c>
      <c r="AA54" s="22">
        <v>290</v>
      </c>
      <c r="AB54" s="22">
        <v>300</v>
      </c>
      <c r="AC54" s="22">
        <v>310</v>
      </c>
      <c r="AD54" s="22">
        <v>320</v>
      </c>
    </row>
    <row r="55" spans="2:30" x14ac:dyDescent="0.25">
      <c r="B55" s="5">
        <v>42</v>
      </c>
      <c r="C55">
        <v>0</v>
      </c>
      <c r="E55" s="5">
        <v>42</v>
      </c>
      <c r="F55" s="21" t="s">
        <v>89</v>
      </c>
      <c r="G55" s="21" t="s">
        <v>89</v>
      </c>
      <c r="H55" s="21" t="s">
        <v>89</v>
      </c>
      <c r="I55" s="21" t="s">
        <v>89</v>
      </c>
      <c r="K55" s="5">
        <v>42</v>
      </c>
      <c r="L55" t="s">
        <v>89</v>
      </c>
      <c r="M55" t="s">
        <v>89</v>
      </c>
      <c r="N55" t="s">
        <v>89</v>
      </c>
      <c r="O55" t="s">
        <v>89</v>
      </c>
      <c r="Q55" s="5">
        <v>42</v>
      </c>
      <c r="R55" s="22">
        <v>200</v>
      </c>
      <c r="S55" s="22">
        <v>210</v>
      </c>
      <c r="T55" s="22">
        <v>220</v>
      </c>
      <c r="U55" s="22">
        <v>230</v>
      </c>
      <c r="V55" s="22">
        <v>240</v>
      </c>
      <c r="W55" s="22">
        <v>250</v>
      </c>
      <c r="X55" s="22">
        <v>260</v>
      </c>
      <c r="Y55" s="22">
        <v>270</v>
      </c>
      <c r="Z55" s="22">
        <v>280</v>
      </c>
      <c r="AA55" s="22">
        <v>290</v>
      </c>
      <c r="AB55" s="22">
        <v>300</v>
      </c>
      <c r="AC55" s="22">
        <v>310</v>
      </c>
      <c r="AD55" s="22">
        <v>320</v>
      </c>
    </row>
    <row r="56" spans="2:30" x14ac:dyDescent="0.25">
      <c r="B56" s="5">
        <v>43</v>
      </c>
      <c r="C56">
        <v>1</v>
      </c>
      <c r="E56" s="5">
        <v>43</v>
      </c>
      <c r="F56" s="21">
        <v>94.2</v>
      </c>
      <c r="G56" s="21" t="s">
        <v>89</v>
      </c>
      <c r="H56" s="21" t="s">
        <v>89</v>
      </c>
      <c r="I56" s="21" t="s">
        <v>89</v>
      </c>
      <c r="K56" s="5">
        <v>43</v>
      </c>
      <c r="L56">
        <v>1.8989</v>
      </c>
      <c r="M56" t="s">
        <v>89</v>
      </c>
      <c r="N56" t="s">
        <v>89</v>
      </c>
      <c r="O56" t="s">
        <v>89</v>
      </c>
      <c r="Q56" s="5">
        <v>43</v>
      </c>
      <c r="R56" s="22">
        <v>200</v>
      </c>
      <c r="S56" s="22">
        <v>210</v>
      </c>
      <c r="T56" s="22">
        <v>125.81211046126174</v>
      </c>
      <c r="U56" s="22">
        <v>135.81211046126174</v>
      </c>
      <c r="V56" s="22">
        <v>145.81211046126174</v>
      </c>
      <c r="W56" s="22">
        <v>155.81211046126174</v>
      </c>
      <c r="X56" s="22">
        <v>165.81211046126174</v>
      </c>
      <c r="Y56" s="22">
        <v>175.81211046126174</v>
      </c>
      <c r="Z56" s="22">
        <v>185.81211046126174</v>
      </c>
      <c r="AA56" s="22">
        <v>195.81211046126174</v>
      </c>
      <c r="AB56" s="22">
        <v>205.81211046126174</v>
      </c>
      <c r="AC56" s="22">
        <v>215.81211046126174</v>
      </c>
      <c r="AD56" s="22">
        <v>225.81211046126174</v>
      </c>
    </row>
    <row r="57" spans="2:30" x14ac:dyDescent="0.25">
      <c r="B57" s="5">
        <v>44</v>
      </c>
      <c r="C57">
        <v>1</v>
      </c>
      <c r="E57" s="5">
        <v>44</v>
      </c>
      <c r="F57" s="21">
        <v>106</v>
      </c>
      <c r="G57" s="21" t="s">
        <v>89</v>
      </c>
      <c r="H57" s="21" t="s">
        <v>89</v>
      </c>
      <c r="I57" s="21" t="s">
        <v>89</v>
      </c>
      <c r="K57" s="5">
        <v>44</v>
      </c>
      <c r="L57">
        <v>0.82789999999999997</v>
      </c>
      <c r="M57" t="s">
        <v>89</v>
      </c>
      <c r="N57" t="s">
        <v>89</v>
      </c>
      <c r="O57" t="s">
        <v>89</v>
      </c>
      <c r="Q57" s="5">
        <v>44</v>
      </c>
      <c r="R57" s="22">
        <v>200</v>
      </c>
      <c r="S57" s="22">
        <v>104.01794696985888</v>
      </c>
      <c r="T57" s="22">
        <v>114.01794696985888</v>
      </c>
      <c r="U57" s="22">
        <v>124.01794696985888</v>
      </c>
      <c r="V57" s="22">
        <v>134.01794696985888</v>
      </c>
      <c r="W57" s="22">
        <v>144.01794696985888</v>
      </c>
      <c r="X57" s="22">
        <v>154.01794696985888</v>
      </c>
      <c r="Y57" s="22">
        <v>164.01794696985888</v>
      </c>
      <c r="Z57" s="22">
        <v>174.01794696985888</v>
      </c>
      <c r="AA57" s="22">
        <v>184.01794696985888</v>
      </c>
      <c r="AB57" s="22">
        <v>194.01794696985888</v>
      </c>
      <c r="AC57" s="22">
        <v>204.01794696985888</v>
      </c>
      <c r="AD57" s="22">
        <v>214.01794696985888</v>
      </c>
    </row>
    <row r="58" spans="2:30" x14ac:dyDescent="0.25">
      <c r="B58" s="5">
        <v>45</v>
      </c>
      <c r="C58">
        <v>1</v>
      </c>
      <c r="E58" s="5">
        <v>45</v>
      </c>
      <c r="F58" s="21">
        <v>104.1</v>
      </c>
      <c r="G58" s="21" t="s">
        <v>89</v>
      </c>
      <c r="H58" s="21" t="s">
        <v>89</v>
      </c>
      <c r="I58" s="21" t="s">
        <v>89</v>
      </c>
      <c r="K58" s="5">
        <v>45</v>
      </c>
      <c r="L58">
        <v>1.9549000000000001</v>
      </c>
      <c r="M58" t="s">
        <v>89</v>
      </c>
      <c r="N58" t="s">
        <v>89</v>
      </c>
      <c r="O58" t="s">
        <v>89</v>
      </c>
      <c r="Q58" s="5">
        <v>45</v>
      </c>
      <c r="R58" s="22">
        <v>200</v>
      </c>
      <c r="S58" s="22">
        <v>210</v>
      </c>
      <c r="T58" s="22">
        <v>115.9421583494</v>
      </c>
      <c r="U58" s="22">
        <v>125.9421583494</v>
      </c>
      <c r="V58" s="22">
        <v>135.94215834940002</v>
      </c>
      <c r="W58" s="22">
        <v>145.94215834940002</v>
      </c>
      <c r="X58" s="22">
        <v>155.94215834940002</v>
      </c>
      <c r="Y58" s="22">
        <v>165.94215834940002</v>
      </c>
      <c r="Z58" s="22">
        <v>175.94215834940002</v>
      </c>
      <c r="AA58" s="22">
        <v>185.94215834940002</v>
      </c>
      <c r="AB58" s="22">
        <v>195.94215834940002</v>
      </c>
      <c r="AC58" s="22">
        <v>205.94215834940002</v>
      </c>
      <c r="AD58" s="22">
        <v>215.94215834940002</v>
      </c>
    </row>
    <row r="59" spans="2:30" x14ac:dyDescent="0.25">
      <c r="B59" s="5">
        <v>46</v>
      </c>
      <c r="C59">
        <v>1</v>
      </c>
      <c r="E59" s="5">
        <v>46</v>
      </c>
      <c r="F59" s="21">
        <v>99.8</v>
      </c>
      <c r="G59" s="21" t="s">
        <v>89</v>
      </c>
      <c r="H59" s="21" t="s">
        <v>89</v>
      </c>
      <c r="I59" s="21" t="s">
        <v>89</v>
      </c>
      <c r="K59" s="5">
        <v>46</v>
      </c>
      <c r="L59">
        <v>0.96640000000000004</v>
      </c>
      <c r="M59" t="s">
        <v>89</v>
      </c>
      <c r="N59" t="s">
        <v>89</v>
      </c>
      <c r="O59" t="s">
        <v>89</v>
      </c>
      <c r="Q59" s="5">
        <v>46</v>
      </c>
      <c r="R59" s="22">
        <v>200</v>
      </c>
      <c r="S59" s="22">
        <v>110.19875329362422</v>
      </c>
      <c r="T59" s="22">
        <v>120.19875329362422</v>
      </c>
      <c r="U59" s="22">
        <v>130.19875329362424</v>
      </c>
      <c r="V59" s="22">
        <v>140.19875329362424</v>
      </c>
      <c r="W59" s="22">
        <v>150.19875329362424</v>
      </c>
      <c r="X59" s="22">
        <v>160.19875329362424</v>
      </c>
      <c r="Y59" s="22">
        <v>170.19875329362424</v>
      </c>
      <c r="Z59" s="22">
        <v>180.19875329362424</v>
      </c>
      <c r="AA59" s="22">
        <v>190.19875329362424</v>
      </c>
      <c r="AB59" s="22">
        <v>200.19875329362424</v>
      </c>
      <c r="AC59" s="22">
        <v>210.19875329362424</v>
      </c>
      <c r="AD59" s="22">
        <v>220.19875329362424</v>
      </c>
    </row>
    <row r="60" spans="2:30" x14ac:dyDescent="0.25">
      <c r="B60" s="5">
        <v>47</v>
      </c>
      <c r="C60">
        <v>0</v>
      </c>
      <c r="E60" s="5">
        <v>47</v>
      </c>
      <c r="F60" s="21" t="s">
        <v>89</v>
      </c>
      <c r="G60" s="21" t="s">
        <v>89</v>
      </c>
      <c r="H60" s="21" t="s">
        <v>89</v>
      </c>
      <c r="I60" s="21" t="s">
        <v>89</v>
      </c>
      <c r="K60" s="5">
        <v>47</v>
      </c>
      <c r="L60" t="s">
        <v>89</v>
      </c>
      <c r="M60" t="s">
        <v>89</v>
      </c>
      <c r="N60" t="s">
        <v>89</v>
      </c>
      <c r="O60" t="s">
        <v>89</v>
      </c>
      <c r="Q60" s="5">
        <v>47</v>
      </c>
      <c r="R60" s="22">
        <v>200</v>
      </c>
      <c r="S60" s="22">
        <v>210</v>
      </c>
      <c r="T60" s="22">
        <v>220</v>
      </c>
      <c r="U60" s="22">
        <v>230</v>
      </c>
      <c r="V60" s="22">
        <v>240</v>
      </c>
      <c r="W60" s="22">
        <v>250</v>
      </c>
      <c r="X60" s="22">
        <v>260</v>
      </c>
      <c r="Y60" s="22">
        <v>270</v>
      </c>
      <c r="Z60" s="22">
        <v>280</v>
      </c>
      <c r="AA60" s="22">
        <v>290</v>
      </c>
      <c r="AB60" s="22">
        <v>300</v>
      </c>
      <c r="AC60" s="22">
        <v>310</v>
      </c>
      <c r="AD60" s="22">
        <v>320</v>
      </c>
    </row>
    <row r="61" spans="2:30" x14ac:dyDescent="0.25">
      <c r="B61" s="5">
        <v>48</v>
      </c>
      <c r="C61">
        <v>0</v>
      </c>
      <c r="E61" s="5">
        <v>48</v>
      </c>
      <c r="F61" s="21" t="s">
        <v>89</v>
      </c>
      <c r="G61" s="21" t="s">
        <v>89</v>
      </c>
      <c r="H61" s="21" t="s">
        <v>89</v>
      </c>
      <c r="I61" s="21" t="s">
        <v>89</v>
      </c>
      <c r="K61" s="5">
        <v>48</v>
      </c>
      <c r="L61" t="s">
        <v>89</v>
      </c>
      <c r="M61" t="s">
        <v>89</v>
      </c>
      <c r="N61" t="s">
        <v>89</v>
      </c>
      <c r="O61" t="s">
        <v>89</v>
      </c>
      <c r="Q61" s="5">
        <v>48</v>
      </c>
      <c r="R61" s="22">
        <v>200</v>
      </c>
      <c r="S61" s="22">
        <v>210</v>
      </c>
      <c r="T61" s="22">
        <v>220</v>
      </c>
      <c r="U61" s="22">
        <v>230</v>
      </c>
      <c r="V61" s="22">
        <v>240</v>
      </c>
      <c r="W61" s="22">
        <v>250</v>
      </c>
      <c r="X61" s="22">
        <v>260</v>
      </c>
      <c r="Y61" s="22">
        <v>270</v>
      </c>
      <c r="Z61" s="22">
        <v>280</v>
      </c>
      <c r="AA61" s="22">
        <v>290</v>
      </c>
      <c r="AB61" s="22">
        <v>300</v>
      </c>
      <c r="AC61" s="22">
        <v>310</v>
      </c>
      <c r="AD61" s="22">
        <v>320</v>
      </c>
    </row>
    <row r="62" spans="2:30" x14ac:dyDescent="0.25">
      <c r="B62" s="5">
        <v>49</v>
      </c>
      <c r="C62">
        <v>1</v>
      </c>
      <c r="E62" s="5">
        <v>49</v>
      </c>
      <c r="F62" s="21">
        <v>98.7</v>
      </c>
      <c r="G62" s="21" t="s">
        <v>89</v>
      </c>
      <c r="H62" s="21" t="s">
        <v>89</v>
      </c>
      <c r="I62" s="21" t="s">
        <v>89</v>
      </c>
      <c r="K62" s="5">
        <v>49</v>
      </c>
      <c r="L62">
        <v>2.7408000000000001</v>
      </c>
      <c r="M62" t="s">
        <v>89</v>
      </c>
      <c r="N62" t="s">
        <v>89</v>
      </c>
      <c r="O62" t="s">
        <v>89</v>
      </c>
      <c r="Q62" s="5">
        <v>49</v>
      </c>
      <c r="R62" s="22">
        <v>200</v>
      </c>
      <c r="S62" s="22">
        <v>210</v>
      </c>
      <c r="T62" s="22">
        <v>220</v>
      </c>
      <c r="U62" s="22">
        <v>131.34521414941312</v>
      </c>
      <c r="V62" s="22">
        <v>141.34521414941312</v>
      </c>
      <c r="W62" s="22">
        <v>151.34521414941312</v>
      </c>
      <c r="X62" s="22">
        <v>161.34521414941312</v>
      </c>
      <c r="Y62" s="22">
        <v>171.34521414941312</v>
      </c>
      <c r="Z62" s="22">
        <v>181.34521414941312</v>
      </c>
      <c r="AA62" s="22">
        <v>191.34521414941312</v>
      </c>
      <c r="AB62" s="22">
        <v>201.34521414941312</v>
      </c>
      <c r="AC62" s="22">
        <v>211.34521414941312</v>
      </c>
      <c r="AD62" s="22">
        <v>221.34521414941312</v>
      </c>
    </row>
    <row r="63" spans="2:30" x14ac:dyDescent="0.25">
      <c r="B63" s="5">
        <v>50</v>
      </c>
      <c r="C63">
        <v>0</v>
      </c>
      <c r="E63" s="5">
        <v>50</v>
      </c>
      <c r="F63" s="21" t="s">
        <v>89</v>
      </c>
      <c r="G63" s="21" t="s">
        <v>89</v>
      </c>
      <c r="H63" s="21" t="s">
        <v>89</v>
      </c>
      <c r="I63" s="21" t="s">
        <v>89</v>
      </c>
      <c r="K63" s="5">
        <v>50</v>
      </c>
      <c r="L63" t="s">
        <v>89</v>
      </c>
      <c r="M63" t="s">
        <v>89</v>
      </c>
      <c r="N63" t="s">
        <v>89</v>
      </c>
      <c r="O63" t="s">
        <v>89</v>
      </c>
      <c r="Q63" s="5">
        <v>50</v>
      </c>
      <c r="R63" s="22">
        <v>200</v>
      </c>
      <c r="S63" s="22">
        <v>210</v>
      </c>
      <c r="T63" s="22">
        <v>220</v>
      </c>
      <c r="U63" s="22">
        <v>230</v>
      </c>
      <c r="V63" s="22">
        <v>240</v>
      </c>
      <c r="W63" s="22">
        <v>250</v>
      </c>
      <c r="X63" s="22">
        <v>260</v>
      </c>
      <c r="Y63" s="22">
        <v>270</v>
      </c>
      <c r="Z63" s="22">
        <v>280</v>
      </c>
      <c r="AA63" s="22">
        <v>290</v>
      </c>
      <c r="AB63" s="22">
        <v>300</v>
      </c>
      <c r="AC63" s="22">
        <v>310</v>
      </c>
      <c r="AD63" s="22">
        <v>320</v>
      </c>
    </row>
    <row r="64" spans="2:30" x14ac:dyDescent="0.25">
      <c r="B64" s="5">
        <v>51</v>
      </c>
      <c r="C64">
        <v>0</v>
      </c>
      <c r="E64" s="5">
        <v>51</v>
      </c>
      <c r="F64" s="21" t="s">
        <v>89</v>
      </c>
      <c r="G64" s="21" t="s">
        <v>89</v>
      </c>
      <c r="H64" s="21" t="s">
        <v>89</v>
      </c>
      <c r="I64" s="21" t="s">
        <v>89</v>
      </c>
      <c r="K64" s="5">
        <v>51</v>
      </c>
      <c r="L64" t="s">
        <v>89</v>
      </c>
      <c r="M64" t="s">
        <v>89</v>
      </c>
      <c r="N64" t="s">
        <v>89</v>
      </c>
      <c r="O64" t="s">
        <v>89</v>
      </c>
      <c r="Q64" s="5">
        <v>51</v>
      </c>
      <c r="R64" s="22">
        <v>200</v>
      </c>
      <c r="S64" s="22">
        <v>210</v>
      </c>
      <c r="T64" s="22">
        <v>220</v>
      </c>
      <c r="U64" s="22">
        <v>230</v>
      </c>
      <c r="V64" s="22">
        <v>240</v>
      </c>
      <c r="W64" s="22">
        <v>250</v>
      </c>
      <c r="X64" s="22">
        <v>260</v>
      </c>
      <c r="Y64" s="22">
        <v>270</v>
      </c>
      <c r="Z64" s="22">
        <v>280</v>
      </c>
      <c r="AA64" s="22">
        <v>290</v>
      </c>
      <c r="AB64" s="22">
        <v>300</v>
      </c>
      <c r="AC64" s="22">
        <v>310</v>
      </c>
      <c r="AD64" s="22">
        <v>320</v>
      </c>
    </row>
    <row r="65" spans="2:30" x14ac:dyDescent="0.25">
      <c r="B65" s="5">
        <v>52</v>
      </c>
      <c r="C65">
        <v>0</v>
      </c>
      <c r="E65" s="5">
        <v>52</v>
      </c>
      <c r="F65" s="21" t="s">
        <v>89</v>
      </c>
      <c r="G65" s="21" t="s">
        <v>89</v>
      </c>
      <c r="H65" s="21" t="s">
        <v>89</v>
      </c>
      <c r="I65" s="21" t="s">
        <v>89</v>
      </c>
      <c r="K65" s="5">
        <v>52</v>
      </c>
      <c r="L65" t="s">
        <v>89</v>
      </c>
      <c r="M65" t="s">
        <v>89</v>
      </c>
      <c r="N65" t="s">
        <v>89</v>
      </c>
      <c r="O65" t="s">
        <v>89</v>
      </c>
      <c r="Q65" s="5">
        <v>52</v>
      </c>
      <c r="R65" s="22">
        <v>200</v>
      </c>
      <c r="S65" s="22">
        <v>210</v>
      </c>
      <c r="T65" s="22">
        <v>220</v>
      </c>
      <c r="U65" s="22">
        <v>230</v>
      </c>
      <c r="V65" s="22">
        <v>240</v>
      </c>
      <c r="W65" s="22">
        <v>250</v>
      </c>
      <c r="X65" s="22">
        <v>260</v>
      </c>
      <c r="Y65" s="22">
        <v>270</v>
      </c>
      <c r="Z65" s="22">
        <v>280</v>
      </c>
      <c r="AA65" s="22">
        <v>290</v>
      </c>
      <c r="AB65" s="22">
        <v>300</v>
      </c>
      <c r="AC65" s="22">
        <v>310</v>
      </c>
      <c r="AD65" s="22">
        <v>320</v>
      </c>
    </row>
    <row r="66" spans="2:30" x14ac:dyDescent="0.25">
      <c r="B66" s="5">
        <v>53</v>
      </c>
      <c r="C66">
        <v>2</v>
      </c>
      <c r="E66" s="5">
        <v>53</v>
      </c>
      <c r="F66" s="21">
        <v>99</v>
      </c>
      <c r="G66" s="21">
        <v>101.9</v>
      </c>
      <c r="H66" s="21" t="s">
        <v>89</v>
      </c>
      <c r="I66" s="21" t="s">
        <v>89</v>
      </c>
      <c r="K66" s="5">
        <v>53</v>
      </c>
      <c r="L66">
        <v>0.29299999999999998</v>
      </c>
      <c r="M66">
        <v>1.1351</v>
      </c>
      <c r="N66" t="s">
        <v>89</v>
      </c>
      <c r="O66" t="s">
        <v>89</v>
      </c>
      <c r="Q66" s="5">
        <v>53</v>
      </c>
      <c r="R66" s="22">
        <v>200</v>
      </c>
      <c r="S66" s="22">
        <v>111.01658673944132</v>
      </c>
      <c r="T66" s="22">
        <v>19.12858245595902</v>
      </c>
      <c r="U66" s="22">
        <v>29.12858245595902</v>
      </c>
      <c r="V66" s="22">
        <v>39.12858245595902</v>
      </c>
      <c r="W66" s="22">
        <v>49.12858245595902</v>
      </c>
      <c r="X66" s="22">
        <v>59.12858245595902</v>
      </c>
      <c r="Y66" s="22">
        <v>69.12858245595902</v>
      </c>
      <c r="Z66" s="22">
        <v>79.12858245595902</v>
      </c>
      <c r="AA66" s="22">
        <v>89.12858245595902</v>
      </c>
      <c r="AB66" s="22">
        <v>99.12858245595902</v>
      </c>
      <c r="AC66" s="22">
        <v>109.12858245595902</v>
      </c>
      <c r="AD66" s="22">
        <v>119.12858245595902</v>
      </c>
    </row>
    <row r="67" spans="2:30" x14ac:dyDescent="0.25">
      <c r="B67" s="5">
        <v>54</v>
      </c>
      <c r="C67">
        <v>0</v>
      </c>
      <c r="E67" s="5">
        <v>54</v>
      </c>
      <c r="F67" s="21" t="s">
        <v>89</v>
      </c>
      <c r="G67" s="21" t="s">
        <v>89</v>
      </c>
      <c r="H67" s="21" t="s">
        <v>89</v>
      </c>
      <c r="I67" s="21" t="s">
        <v>89</v>
      </c>
      <c r="K67" s="5">
        <v>54</v>
      </c>
      <c r="L67" t="s">
        <v>89</v>
      </c>
      <c r="M67" t="s">
        <v>89</v>
      </c>
      <c r="N67" t="s">
        <v>89</v>
      </c>
      <c r="O67" t="s">
        <v>89</v>
      </c>
      <c r="Q67" s="5">
        <v>54</v>
      </c>
      <c r="R67" s="22">
        <v>200</v>
      </c>
      <c r="S67" s="22">
        <v>210</v>
      </c>
      <c r="T67" s="22">
        <v>220</v>
      </c>
      <c r="U67" s="22">
        <v>230</v>
      </c>
      <c r="V67" s="22">
        <v>240</v>
      </c>
      <c r="W67" s="22">
        <v>250</v>
      </c>
      <c r="X67" s="22">
        <v>260</v>
      </c>
      <c r="Y67" s="22">
        <v>270</v>
      </c>
      <c r="Z67" s="22">
        <v>280</v>
      </c>
      <c r="AA67" s="22">
        <v>290</v>
      </c>
      <c r="AB67" s="22">
        <v>300</v>
      </c>
      <c r="AC67" s="22">
        <v>310</v>
      </c>
      <c r="AD67" s="22">
        <v>320</v>
      </c>
    </row>
    <row r="68" spans="2:30" x14ac:dyDescent="0.25">
      <c r="B68" s="5">
        <v>55</v>
      </c>
      <c r="C68">
        <v>0</v>
      </c>
      <c r="E68" s="5">
        <v>55</v>
      </c>
      <c r="F68" s="21" t="s">
        <v>89</v>
      </c>
      <c r="G68" s="21" t="s">
        <v>89</v>
      </c>
      <c r="H68" s="21" t="s">
        <v>89</v>
      </c>
      <c r="I68" s="21" t="s">
        <v>89</v>
      </c>
      <c r="K68" s="5">
        <v>55</v>
      </c>
      <c r="L68" t="s">
        <v>89</v>
      </c>
      <c r="M68" t="s">
        <v>89</v>
      </c>
      <c r="N68" t="s">
        <v>89</v>
      </c>
      <c r="O68" t="s">
        <v>89</v>
      </c>
      <c r="Q68" s="5">
        <v>55</v>
      </c>
      <c r="R68" s="22">
        <v>200</v>
      </c>
      <c r="S68" s="22">
        <v>210</v>
      </c>
      <c r="T68" s="22">
        <v>220</v>
      </c>
      <c r="U68" s="22">
        <v>230</v>
      </c>
      <c r="V68" s="22">
        <v>240</v>
      </c>
      <c r="W68" s="22">
        <v>250</v>
      </c>
      <c r="X68" s="22">
        <v>260</v>
      </c>
      <c r="Y68" s="22">
        <v>270</v>
      </c>
      <c r="Z68" s="22">
        <v>280</v>
      </c>
      <c r="AA68" s="22">
        <v>290</v>
      </c>
      <c r="AB68" s="22">
        <v>300</v>
      </c>
      <c r="AC68" s="22">
        <v>310</v>
      </c>
      <c r="AD68" s="22">
        <v>320</v>
      </c>
    </row>
    <row r="69" spans="2:30" x14ac:dyDescent="0.25">
      <c r="B69" s="5">
        <v>56</v>
      </c>
      <c r="C69">
        <v>2</v>
      </c>
      <c r="E69" s="5">
        <v>56</v>
      </c>
      <c r="F69" s="21">
        <v>80.900000000000006</v>
      </c>
      <c r="G69" s="21">
        <v>95.9</v>
      </c>
      <c r="H69" s="21" t="s">
        <v>89</v>
      </c>
      <c r="I69" s="21" t="s">
        <v>89</v>
      </c>
      <c r="K69" s="5">
        <v>56</v>
      </c>
      <c r="L69">
        <v>0.5726</v>
      </c>
      <c r="M69">
        <v>0.5534</v>
      </c>
      <c r="N69" t="s">
        <v>89</v>
      </c>
      <c r="O69" t="s">
        <v>89</v>
      </c>
      <c r="Q69" s="5">
        <v>56</v>
      </c>
      <c r="R69" s="22">
        <v>200</v>
      </c>
      <c r="S69" s="22">
        <v>129.11252127013884</v>
      </c>
      <c r="T69" s="22">
        <v>43.26107302978491</v>
      </c>
      <c r="U69" s="22">
        <v>53.26107302978491</v>
      </c>
      <c r="V69" s="22">
        <v>63.26107302978491</v>
      </c>
      <c r="W69" s="22">
        <v>73.26107302978491</v>
      </c>
      <c r="X69" s="22">
        <v>83.26107302978491</v>
      </c>
      <c r="Y69" s="22">
        <v>93.26107302978491</v>
      </c>
      <c r="Z69" s="22">
        <v>103.26107302978491</v>
      </c>
      <c r="AA69" s="22">
        <v>113.26107302978491</v>
      </c>
      <c r="AB69" s="22">
        <v>123.26107302978491</v>
      </c>
      <c r="AC69" s="22">
        <v>133.26107302978491</v>
      </c>
      <c r="AD69" s="22">
        <v>143.26107302978491</v>
      </c>
    </row>
    <row r="70" spans="2:30" x14ac:dyDescent="0.25">
      <c r="B70" s="5">
        <v>57</v>
      </c>
      <c r="C70">
        <v>1</v>
      </c>
      <c r="E70" s="5">
        <v>57</v>
      </c>
      <c r="F70" s="21">
        <v>98.4</v>
      </c>
      <c r="G70" s="21" t="s">
        <v>89</v>
      </c>
      <c r="H70" s="21" t="s">
        <v>89</v>
      </c>
      <c r="I70" s="21" t="s">
        <v>89</v>
      </c>
      <c r="K70" s="5">
        <v>57</v>
      </c>
      <c r="L70">
        <v>1.0736000000000001</v>
      </c>
      <c r="M70" t="s">
        <v>89</v>
      </c>
      <c r="N70" t="s">
        <v>89</v>
      </c>
      <c r="O70" t="s">
        <v>89</v>
      </c>
      <c r="Q70" s="5">
        <v>57</v>
      </c>
      <c r="R70" s="22">
        <v>200</v>
      </c>
      <c r="S70" s="22">
        <v>210</v>
      </c>
      <c r="T70" s="22">
        <v>121.62336950008634</v>
      </c>
      <c r="U70" s="22">
        <v>131.62336950008634</v>
      </c>
      <c r="V70" s="22">
        <v>141.62336950008634</v>
      </c>
      <c r="W70" s="22">
        <v>151.62336950008634</v>
      </c>
      <c r="X70" s="22">
        <v>161.62336950008634</v>
      </c>
      <c r="Y70" s="22">
        <v>171.62336950008634</v>
      </c>
      <c r="Z70" s="22">
        <v>181.62336950008634</v>
      </c>
      <c r="AA70" s="22">
        <v>191.62336950008634</v>
      </c>
      <c r="AB70" s="22">
        <v>201.62336950008634</v>
      </c>
      <c r="AC70" s="22">
        <v>211.62336950008634</v>
      </c>
      <c r="AD70" s="22">
        <v>221.62336950008634</v>
      </c>
    </row>
    <row r="71" spans="2:30" x14ac:dyDescent="0.25">
      <c r="B71" s="5">
        <v>58</v>
      </c>
      <c r="C71">
        <v>1</v>
      </c>
      <c r="E71" s="5">
        <v>58</v>
      </c>
      <c r="F71" s="21">
        <v>102.5</v>
      </c>
      <c r="G71" s="21" t="s">
        <v>89</v>
      </c>
      <c r="H71" s="21" t="s">
        <v>89</v>
      </c>
      <c r="I71" s="21" t="s">
        <v>89</v>
      </c>
      <c r="K71" s="5">
        <v>58</v>
      </c>
      <c r="L71">
        <v>0.57310000000000005</v>
      </c>
      <c r="M71" t="s">
        <v>89</v>
      </c>
      <c r="N71" t="s">
        <v>89</v>
      </c>
      <c r="O71" t="s">
        <v>89</v>
      </c>
      <c r="Q71" s="5">
        <v>58</v>
      </c>
      <c r="R71" s="22">
        <v>200</v>
      </c>
      <c r="S71" s="22">
        <v>107.54871515116658</v>
      </c>
      <c r="T71" s="22">
        <v>117.54871515116658</v>
      </c>
      <c r="U71" s="22">
        <v>127.54871515116658</v>
      </c>
      <c r="V71" s="22">
        <v>137.54871515116656</v>
      </c>
      <c r="W71" s="22">
        <v>147.54871515116656</v>
      </c>
      <c r="X71" s="22">
        <v>157.54871515116656</v>
      </c>
      <c r="Y71" s="22">
        <v>167.54871515116656</v>
      </c>
      <c r="Z71" s="22">
        <v>177.54871515116656</v>
      </c>
      <c r="AA71" s="22">
        <v>187.54871515116656</v>
      </c>
      <c r="AB71" s="22">
        <v>197.54871515116656</v>
      </c>
      <c r="AC71" s="22">
        <v>207.54871515116656</v>
      </c>
      <c r="AD71" s="22">
        <v>217.54871515116656</v>
      </c>
    </row>
    <row r="72" spans="2:30" x14ac:dyDescent="0.25">
      <c r="B72" s="5">
        <v>59</v>
      </c>
      <c r="C72">
        <v>4</v>
      </c>
      <c r="E72" s="5">
        <v>59</v>
      </c>
      <c r="F72" s="21">
        <v>104.3</v>
      </c>
      <c r="G72" s="21">
        <v>99.4</v>
      </c>
      <c r="H72" s="21">
        <v>91.7</v>
      </c>
      <c r="I72" s="21">
        <v>92.9</v>
      </c>
      <c r="K72" s="5">
        <v>59</v>
      </c>
      <c r="L72">
        <v>3.4937999999999998</v>
      </c>
      <c r="M72">
        <v>1.1029</v>
      </c>
      <c r="N72">
        <v>0.31490000000000001</v>
      </c>
      <c r="O72">
        <v>0.56330000000000002</v>
      </c>
      <c r="Q72" s="5">
        <v>59</v>
      </c>
      <c r="R72" s="22">
        <v>200</v>
      </c>
      <c r="S72" s="22">
        <v>210</v>
      </c>
      <c r="T72" s="22">
        <v>220</v>
      </c>
      <c r="U72" s="22">
        <v>230</v>
      </c>
      <c r="V72" s="22">
        <v>135.67870918496655</v>
      </c>
      <c r="W72" s="22">
        <v>-45.359107437273849</v>
      </c>
      <c r="X72" s="22">
        <v>-128.27114813044119</v>
      </c>
      <c r="Y72" s="22">
        <v>-118.27114813044119</v>
      </c>
      <c r="Z72" s="22">
        <v>-108.27114813044119</v>
      </c>
      <c r="AA72" s="22">
        <v>-98.27114813044119</v>
      </c>
      <c r="AB72" s="22">
        <v>-88.27114813044119</v>
      </c>
      <c r="AC72" s="22">
        <v>-78.27114813044119</v>
      </c>
      <c r="AD72" s="22">
        <v>-68.27114813044119</v>
      </c>
    </row>
    <row r="73" spans="2:30" x14ac:dyDescent="0.25">
      <c r="B73" s="5">
        <v>60</v>
      </c>
      <c r="C73">
        <v>2</v>
      </c>
      <c r="E73" s="5">
        <v>60</v>
      </c>
      <c r="F73" s="21">
        <v>95.7</v>
      </c>
      <c r="G73" s="21">
        <v>99</v>
      </c>
      <c r="H73" s="21" t="s">
        <v>89</v>
      </c>
      <c r="I73" s="21" t="s">
        <v>89</v>
      </c>
      <c r="K73" s="5">
        <v>60</v>
      </c>
      <c r="L73">
        <v>1.5730999999999999</v>
      </c>
      <c r="M73">
        <v>4.2672999999999996</v>
      </c>
      <c r="N73" t="s">
        <v>89</v>
      </c>
      <c r="O73" t="s">
        <v>89</v>
      </c>
      <c r="Q73" s="5">
        <v>60</v>
      </c>
      <c r="R73" s="22">
        <v>200</v>
      </c>
      <c r="S73" s="22">
        <v>210</v>
      </c>
      <c r="T73" s="22">
        <v>124.28521607646655</v>
      </c>
      <c r="U73" s="22">
        <v>134.28521607646655</v>
      </c>
      <c r="V73" s="22">
        <v>144.28521607646655</v>
      </c>
      <c r="W73" s="22">
        <v>154.28521607646655</v>
      </c>
      <c r="X73" s="22">
        <v>65.259848774097918</v>
      </c>
      <c r="Y73" s="22">
        <v>75.259848774097918</v>
      </c>
      <c r="Z73" s="22">
        <v>85.259848774097918</v>
      </c>
      <c r="AA73" s="22">
        <v>95.259848774097918</v>
      </c>
      <c r="AB73" s="22">
        <v>105.25984877409792</v>
      </c>
      <c r="AC73" s="22">
        <v>115.25984877409792</v>
      </c>
      <c r="AD73" s="22">
        <v>125.25984877409792</v>
      </c>
    </row>
    <row r="74" spans="2:30" x14ac:dyDescent="0.25">
      <c r="B74" s="5">
        <v>61</v>
      </c>
      <c r="C74">
        <v>0</v>
      </c>
      <c r="E74" s="5">
        <v>61</v>
      </c>
      <c r="F74" s="21" t="s">
        <v>89</v>
      </c>
      <c r="G74" s="21" t="s">
        <v>89</v>
      </c>
      <c r="H74" s="21" t="s">
        <v>89</v>
      </c>
      <c r="I74" s="21" t="s">
        <v>89</v>
      </c>
      <c r="K74" s="5">
        <v>61</v>
      </c>
      <c r="L74" t="s">
        <v>89</v>
      </c>
      <c r="M74" t="s">
        <v>89</v>
      </c>
      <c r="N74" t="s">
        <v>89</v>
      </c>
      <c r="O74" t="s">
        <v>89</v>
      </c>
      <c r="Q74" s="5">
        <v>61</v>
      </c>
      <c r="R74" s="22">
        <v>200</v>
      </c>
      <c r="S74" s="22">
        <v>210</v>
      </c>
      <c r="T74" s="22">
        <v>220</v>
      </c>
      <c r="U74" s="22">
        <v>230</v>
      </c>
      <c r="V74" s="22">
        <v>240</v>
      </c>
      <c r="W74" s="22">
        <v>250</v>
      </c>
      <c r="X74" s="22">
        <v>260</v>
      </c>
      <c r="Y74" s="22">
        <v>270</v>
      </c>
      <c r="Z74" s="22">
        <v>280</v>
      </c>
      <c r="AA74" s="22">
        <v>290</v>
      </c>
      <c r="AB74" s="22">
        <v>300</v>
      </c>
      <c r="AC74" s="22">
        <v>310</v>
      </c>
      <c r="AD74" s="22">
        <v>320</v>
      </c>
    </row>
    <row r="75" spans="2:30" x14ac:dyDescent="0.25">
      <c r="B75" s="5">
        <v>62</v>
      </c>
      <c r="C75">
        <v>0</v>
      </c>
      <c r="E75" s="5">
        <v>62</v>
      </c>
      <c r="F75" s="21" t="s">
        <v>89</v>
      </c>
      <c r="G75" s="21" t="s">
        <v>89</v>
      </c>
      <c r="H75" s="21" t="s">
        <v>89</v>
      </c>
      <c r="I75" s="21" t="s">
        <v>89</v>
      </c>
      <c r="K75" s="5">
        <v>62</v>
      </c>
      <c r="L75" t="s">
        <v>89</v>
      </c>
      <c r="M75" t="s">
        <v>89</v>
      </c>
      <c r="N75" t="s">
        <v>89</v>
      </c>
      <c r="O75" t="s">
        <v>89</v>
      </c>
      <c r="Q75" s="5">
        <v>62</v>
      </c>
      <c r="R75" s="22">
        <v>200</v>
      </c>
      <c r="S75" s="22">
        <v>210</v>
      </c>
      <c r="T75" s="22">
        <v>220</v>
      </c>
      <c r="U75" s="22">
        <v>230</v>
      </c>
      <c r="V75" s="22">
        <v>240</v>
      </c>
      <c r="W75" s="22">
        <v>250</v>
      </c>
      <c r="X75" s="22">
        <v>260</v>
      </c>
      <c r="Y75" s="22">
        <v>270</v>
      </c>
      <c r="Z75" s="22">
        <v>280</v>
      </c>
      <c r="AA75" s="22">
        <v>290</v>
      </c>
      <c r="AB75" s="22">
        <v>300</v>
      </c>
      <c r="AC75" s="22">
        <v>310</v>
      </c>
      <c r="AD75" s="22">
        <v>320</v>
      </c>
    </row>
    <row r="76" spans="2:30" x14ac:dyDescent="0.25">
      <c r="B76" s="5">
        <v>63</v>
      </c>
      <c r="C76">
        <v>0</v>
      </c>
      <c r="E76" s="5">
        <v>63</v>
      </c>
      <c r="F76" s="21" t="s">
        <v>89</v>
      </c>
      <c r="G76" s="21" t="s">
        <v>89</v>
      </c>
      <c r="H76" s="21" t="s">
        <v>89</v>
      </c>
      <c r="I76" s="21" t="s">
        <v>89</v>
      </c>
      <c r="K76" s="5">
        <v>63</v>
      </c>
      <c r="L76" t="s">
        <v>89</v>
      </c>
      <c r="M76" t="s">
        <v>89</v>
      </c>
      <c r="N76" t="s">
        <v>89</v>
      </c>
      <c r="O76" t="s">
        <v>89</v>
      </c>
      <c r="Q76" s="5">
        <v>63</v>
      </c>
      <c r="R76" s="22">
        <v>200</v>
      </c>
      <c r="S76" s="22">
        <v>210</v>
      </c>
      <c r="T76" s="22">
        <v>220</v>
      </c>
      <c r="U76" s="22">
        <v>230</v>
      </c>
      <c r="V76" s="22">
        <v>240</v>
      </c>
      <c r="W76" s="22">
        <v>250</v>
      </c>
      <c r="X76" s="22">
        <v>260</v>
      </c>
      <c r="Y76" s="22">
        <v>270</v>
      </c>
      <c r="Z76" s="22">
        <v>280</v>
      </c>
      <c r="AA76" s="22">
        <v>290</v>
      </c>
      <c r="AB76" s="22">
        <v>300</v>
      </c>
      <c r="AC76" s="22">
        <v>310</v>
      </c>
      <c r="AD76" s="22">
        <v>320</v>
      </c>
    </row>
    <row r="77" spans="2:30" x14ac:dyDescent="0.25">
      <c r="B77" s="5">
        <v>64</v>
      </c>
      <c r="C77">
        <v>0</v>
      </c>
      <c r="E77" s="5">
        <v>64</v>
      </c>
      <c r="F77" s="21" t="s">
        <v>89</v>
      </c>
      <c r="G77" s="21" t="s">
        <v>89</v>
      </c>
      <c r="H77" s="21" t="s">
        <v>89</v>
      </c>
      <c r="I77" s="21" t="s">
        <v>89</v>
      </c>
      <c r="K77" s="5">
        <v>64</v>
      </c>
      <c r="L77" t="s">
        <v>89</v>
      </c>
      <c r="M77" t="s">
        <v>89</v>
      </c>
      <c r="N77" t="s">
        <v>89</v>
      </c>
      <c r="O77" t="s">
        <v>89</v>
      </c>
      <c r="Q77" s="5">
        <v>64</v>
      </c>
      <c r="R77" s="22">
        <v>200</v>
      </c>
      <c r="S77" s="22">
        <v>210</v>
      </c>
      <c r="T77" s="22">
        <v>220</v>
      </c>
      <c r="U77" s="22">
        <v>230</v>
      </c>
      <c r="V77" s="22">
        <v>240</v>
      </c>
      <c r="W77" s="22">
        <v>250</v>
      </c>
      <c r="X77" s="22">
        <v>260</v>
      </c>
      <c r="Y77" s="22">
        <v>270</v>
      </c>
      <c r="Z77" s="22">
        <v>280</v>
      </c>
      <c r="AA77" s="22">
        <v>290</v>
      </c>
      <c r="AB77" s="22">
        <v>300</v>
      </c>
      <c r="AC77" s="22">
        <v>310</v>
      </c>
      <c r="AD77" s="22">
        <v>320</v>
      </c>
    </row>
    <row r="78" spans="2:30" x14ac:dyDescent="0.25">
      <c r="B78" s="5">
        <v>65</v>
      </c>
      <c r="C78">
        <v>0</v>
      </c>
      <c r="E78" s="5">
        <v>65</v>
      </c>
      <c r="F78" s="21" t="s">
        <v>89</v>
      </c>
      <c r="G78" s="21" t="s">
        <v>89</v>
      </c>
      <c r="H78" s="21" t="s">
        <v>89</v>
      </c>
      <c r="I78" s="21" t="s">
        <v>89</v>
      </c>
      <c r="K78" s="5">
        <v>65</v>
      </c>
      <c r="L78" t="s">
        <v>89</v>
      </c>
      <c r="M78" t="s">
        <v>89</v>
      </c>
      <c r="N78" t="s">
        <v>89</v>
      </c>
      <c r="O78" t="s">
        <v>89</v>
      </c>
      <c r="Q78" s="5">
        <v>65</v>
      </c>
      <c r="R78" s="22">
        <v>200</v>
      </c>
      <c r="S78" s="22">
        <v>210</v>
      </c>
      <c r="T78" s="22">
        <v>220</v>
      </c>
      <c r="U78" s="22">
        <v>230</v>
      </c>
      <c r="V78" s="22">
        <v>240</v>
      </c>
      <c r="W78" s="22">
        <v>250</v>
      </c>
      <c r="X78" s="22">
        <v>260</v>
      </c>
      <c r="Y78" s="22">
        <v>270</v>
      </c>
      <c r="Z78" s="22">
        <v>280</v>
      </c>
      <c r="AA78" s="22">
        <v>290</v>
      </c>
      <c r="AB78" s="22">
        <v>300</v>
      </c>
      <c r="AC78" s="22">
        <v>310</v>
      </c>
      <c r="AD78" s="22">
        <v>320</v>
      </c>
    </row>
    <row r="79" spans="2:30" x14ac:dyDescent="0.25">
      <c r="B79" s="5">
        <v>66</v>
      </c>
      <c r="C79">
        <v>0</v>
      </c>
      <c r="E79" s="5">
        <v>66</v>
      </c>
      <c r="F79" s="21" t="s">
        <v>89</v>
      </c>
      <c r="G79" s="21" t="s">
        <v>89</v>
      </c>
      <c r="H79" s="21" t="s">
        <v>89</v>
      </c>
      <c r="I79" s="21" t="s">
        <v>89</v>
      </c>
      <c r="K79" s="5">
        <v>66</v>
      </c>
      <c r="L79" t="s">
        <v>89</v>
      </c>
      <c r="M79" t="s">
        <v>89</v>
      </c>
      <c r="N79" t="s">
        <v>89</v>
      </c>
      <c r="O79" t="s">
        <v>89</v>
      </c>
      <c r="Q79" s="5">
        <v>66</v>
      </c>
      <c r="R79" s="22">
        <v>200</v>
      </c>
      <c r="S79" s="22">
        <v>210</v>
      </c>
      <c r="T79" s="22">
        <v>220</v>
      </c>
      <c r="U79" s="22">
        <v>230</v>
      </c>
      <c r="V79" s="22">
        <v>240</v>
      </c>
      <c r="W79" s="22">
        <v>250</v>
      </c>
      <c r="X79" s="22">
        <v>260</v>
      </c>
      <c r="Y79" s="22">
        <v>270</v>
      </c>
      <c r="Z79" s="22">
        <v>280</v>
      </c>
      <c r="AA79" s="22">
        <v>290</v>
      </c>
      <c r="AB79" s="22">
        <v>300</v>
      </c>
      <c r="AC79" s="22">
        <v>310</v>
      </c>
      <c r="AD79" s="22">
        <v>320</v>
      </c>
    </row>
    <row r="80" spans="2:30" x14ac:dyDescent="0.25">
      <c r="B80" s="5">
        <v>67</v>
      </c>
      <c r="C80">
        <v>0</v>
      </c>
      <c r="E80" s="5">
        <v>67</v>
      </c>
      <c r="F80" s="21" t="s">
        <v>89</v>
      </c>
      <c r="G80" s="21" t="s">
        <v>89</v>
      </c>
      <c r="H80" s="21" t="s">
        <v>89</v>
      </c>
      <c r="I80" s="21" t="s">
        <v>89</v>
      </c>
      <c r="K80" s="5">
        <v>67</v>
      </c>
      <c r="L80" t="s">
        <v>89</v>
      </c>
      <c r="M80" t="s">
        <v>89</v>
      </c>
      <c r="N80" t="s">
        <v>89</v>
      </c>
      <c r="O80" t="s">
        <v>89</v>
      </c>
      <c r="Q80" s="5">
        <v>67</v>
      </c>
      <c r="R80" s="22">
        <v>200</v>
      </c>
      <c r="S80" s="22">
        <v>210</v>
      </c>
      <c r="T80" s="22">
        <v>220</v>
      </c>
      <c r="U80" s="22">
        <v>230</v>
      </c>
      <c r="V80" s="22">
        <v>240</v>
      </c>
      <c r="W80" s="22">
        <v>250</v>
      </c>
      <c r="X80" s="22">
        <v>260</v>
      </c>
      <c r="Y80" s="22">
        <v>270</v>
      </c>
      <c r="Z80" s="22">
        <v>280</v>
      </c>
      <c r="AA80" s="22">
        <v>290</v>
      </c>
      <c r="AB80" s="22">
        <v>300</v>
      </c>
      <c r="AC80" s="22">
        <v>310</v>
      </c>
      <c r="AD80" s="22">
        <v>320</v>
      </c>
    </row>
    <row r="81" spans="2:30" x14ac:dyDescent="0.25">
      <c r="B81" s="5">
        <v>68</v>
      </c>
      <c r="C81">
        <v>0</v>
      </c>
      <c r="E81" s="5">
        <v>68</v>
      </c>
      <c r="F81" s="21" t="s">
        <v>89</v>
      </c>
      <c r="G81" s="21" t="s">
        <v>89</v>
      </c>
      <c r="H81" s="21" t="s">
        <v>89</v>
      </c>
      <c r="I81" s="21" t="s">
        <v>89</v>
      </c>
      <c r="K81" s="5">
        <v>68</v>
      </c>
      <c r="L81" t="s">
        <v>89</v>
      </c>
      <c r="M81" t="s">
        <v>89</v>
      </c>
      <c r="N81" t="s">
        <v>89</v>
      </c>
      <c r="O81" t="s">
        <v>89</v>
      </c>
      <c r="Q81" s="5">
        <v>68</v>
      </c>
      <c r="R81" s="22">
        <v>200</v>
      </c>
      <c r="S81" s="22">
        <v>210</v>
      </c>
      <c r="T81" s="22">
        <v>220</v>
      </c>
      <c r="U81" s="22">
        <v>230</v>
      </c>
      <c r="V81" s="22">
        <v>240</v>
      </c>
      <c r="W81" s="22">
        <v>250</v>
      </c>
      <c r="X81" s="22">
        <v>260</v>
      </c>
      <c r="Y81" s="22">
        <v>270</v>
      </c>
      <c r="Z81" s="22">
        <v>280</v>
      </c>
      <c r="AA81" s="22">
        <v>290</v>
      </c>
      <c r="AB81" s="22">
        <v>300</v>
      </c>
      <c r="AC81" s="22">
        <v>310</v>
      </c>
      <c r="AD81" s="22">
        <v>320</v>
      </c>
    </row>
    <row r="82" spans="2:30" x14ac:dyDescent="0.25">
      <c r="B82" s="5">
        <v>69</v>
      </c>
      <c r="C82">
        <v>1</v>
      </c>
      <c r="E82" s="5">
        <v>69</v>
      </c>
      <c r="F82" s="21">
        <v>110.9</v>
      </c>
      <c r="G82" s="21" t="s">
        <v>89</v>
      </c>
      <c r="H82" s="21" t="s">
        <v>89</v>
      </c>
      <c r="I82" s="21" t="s">
        <v>89</v>
      </c>
      <c r="K82" s="5">
        <v>69</v>
      </c>
      <c r="L82">
        <v>0.48880000000000001</v>
      </c>
      <c r="M82" t="s">
        <v>89</v>
      </c>
      <c r="N82" t="s">
        <v>89</v>
      </c>
      <c r="O82" t="s">
        <v>89</v>
      </c>
      <c r="Q82" s="5">
        <v>69</v>
      </c>
      <c r="R82" s="22">
        <v>200</v>
      </c>
      <c r="S82" s="22">
        <v>99.052893668200909</v>
      </c>
      <c r="T82" s="22">
        <v>109.05289366820091</v>
      </c>
      <c r="U82" s="22">
        <v>119.05289366820091</v>
      </c>
      <c r="V82" s="22">
        <v>129.05289366820091</v>
      </c>
      <c r="W82" s="22">
        <v>139.05289366820091</v>
      </c>
      <c r="X82" s="22">
        <v>149.05289366820091</v>
      </c>
      <c r="Y82" s="22">
        <v>159.05289366820091</v>
      </c>
      <c r="Z82" s="22">
        <v>169.05289366820091</v>
      </c>
      <c r="AA82" s="22">
        <v>179.05289366820091</v>
      </c>
      <c r="AB82" s="22">
        <v>189.05289366820091</v>
      </c>
      <c r="AC82" s="22">
        <v>199.05289366820091</v>
      </c>
      <c r="AD82" s="22">
        <v>209.05289366820091</v>
      </c>
    </row>
    <row r="83" spans="2:30" x14ac:dyDescent="0.25">
      <c r="B83" s="5">
        <v>70</v>
      </c>
      <c r="C83">
        <v>0</v>
      </c>
      <c r="E83" s="5">
        <v>70</v>
      </c>
      <c r="F83" s="21" t="s">
        <v>89</v>
      </c>
      <c r="G83" s="21" t="s">
        <v>89</v>
      </c>
      <c r="H83" s="21" t="s">
        <v>89</v>
      </c>
      <c r="I83" s="21" t="s">
        <v>89</v>
      </c>
      <c r="K83" s="5">
        <v>70</v>
      </c>
      <c r="L83" t="s">
        <v>89</v>
      </c>
      <c r="M83" t="s">
        <v>89</v>
      </c>
      <c r="N83" t="s">
        <v>89</v>
      </c>
      <c r="O83" t="s">
        <v>89</v>
      </c>
      <c r="Q83" s="5">
        <v>70</v>
      </c>
      <c r="R83" s="22">
        <v>200</v>
      </c>
      <c r="S83" s="22">
        <v>210</v>
      </c>
      <c r="T83" s="22">
        <v>220</v>
      </c>
      <c r="U83" s="22">
        <v>230</v>
      </c>
      <c r="V83" s="22">
        <v>240</v>
      </c>
      <c r="W83" s="22">
        <v>250</v>
      </c>
      <c r="X83" s="22">
        <v>260</v>
      </c>
      <c r="Y83" s="22">
        <v>270</v>
      </c>
      <c r="Z83" s="22">
        <v>280</v>
      </c>
      <c r="AA83" s="22">
        <v>290</v>
      </c>
      <c r="AB83" s="22">
        <v>300</v>
      </c>
      <c r="AC83" s="22">
        <v>310</v>
      </c>
      <c r="AD83" s="22">
        <v>320</v>
      </c>
    </row>
    <row r="84" spans="2:30" x14ac:dyDescent="0.25">
      <c r="B84" s="5">
        <v>71</v>
      </c>
      <c r="C84">
        <v>0</v>
      </c>
      <c r="E84" s="5">
        <v>71</v>
      </c>
      <c r="F84" s="21" t="s">
        <v>89</v>
      </c>
      <c r="G84" s="21" t="s">
        <v>89</v>
      </c>
      <c r="H84" s="21" t="s">
        <v>89</v>
      </c>
      <c r="I84" s="21" t="s">
        <v>89</v>
      </c>
      <c r="K84" s="5">
        <v>71</v>
      </c>
      <c r="L84" t="s">
        <v>89</v>
      </c>
      <c r="M84" t="s">
        <v>89</v>
      </c>
      <c r="N84" t="s">
        <v>89</v>
      </c>
      <c r="O84" t="s">
        <v>89</v>
      </c>
      <c r="Q84" s="5">
        <v>71</v>
      </c>
      <c r="R84" s="22">
        <v>200</v>
      </c>
      <c r="S84" s="22">
        <v>210</v>
      </c>
      <c r="T84" s="22">
        <v>220</v>
      </c>
      <c r="U84" s="22">
        <v>230</v>
      </c>
      <c r="V84" s="22">
        <v>240</v>
      </c>
      <c r="W84" s="22">
        <v>250</v>
      </c>
      <c r="X84" s="22">
        <v>260</v>
      </c>
      <c r="Y84" s="22">
        <v>270</v>
      </c>
      <c r="Z84" s="22">
        <v>280</v>
      </c>
      <c r="AA84" s="22">
        <v>290</v>
      </c>
      <c r="AB84" s="22">
        <v>300</v>
      </c>
      <c r="AC84" s="22">
        <v>310</v>
      </c>
      <c r="AD84" s="22">
        <v>320</v>
      </c>
    </row>
    <row r="85" spans="2:30" x14ac:dyDescent="0.25">
      <c r="B85" s="5">
        <v>72</v>
      </c>
      <c r="C85">
        <v>1</v>
      </c>
      <c r="E85" s="5">
        <v>72</v>
      </c>
      <c r="F85" s="21">
        <v>96.9</v>
      </c>
      <c r="G85" s="21" t="s">
        <v>89</v>
      </c>
      <c r="H85" s="21" t="s">
        <v>89</v>
      </c>
      <c r="I85" s="21" t="s">
        <v>89</v>
      </c>
      <c r="K85" s="5">
        <v>72</v>
      </c>
      <c r="L85">
        <v>1.4035</v>
      </c>
      <c r="M85" t="s">
        <v>89</v>
      </c>
      <c r="N85" t="s">
        <v>89</v>
      </c>
      <c r="O85" t="s">
        <v>89</v>
      </c>
      <c r="Q85" s="5">
        <v>72</v>
      </c>
      <c r="R85" s="22">
        <v>200</v>
      </c>
      <c r="S85" s="22">
        <v>210</v>
      </c>
      <c r="T85" s="22">
        <v>123.05527631266331</v>
      </c>
      <c r="U85" s="22">
        <v>133.0552763126633</v>
      </c>
      <c r="V85" s="22">
        <v>143.0552763126633</v>
      </c>
      <c r="W85" s="22">
        <v>153.0552763126633</v>
      </c>
      <c r="X85" s="22">
        <v>163.0552763126633</v>
      </c>
      <c r="Y85" s="22">
        <v>173.0552763126633</v>
      </c>
      <c r="Z85" s="22">
        <v>183.0552763126633</v>
      </c>
      <c r="AA85" s="22">
        <v>193.0552763126633</v>
      </c>
      <c r="AB85" s="22">
        <v>203.0552763126633</v>
      </c>
      <c r="AC85" s="22">
        <v>213.0552763126633</v>
      </c>
      <c r="AD85" s="22">
        <v>223.0552763126633</v>
      </c>
    </row>
    <row r="86" spans="2:30" x14ac:dyDescent="0.25">
      <c r="B86" s="5">
        <v>73</v>
      </c>
      <c r="C86">
        <v>0</v>
      </c>
      <c r="E86" s="5">
        <v>73</v>
      </c>
      <c r="F86" s="21" t="s">
        <v>89</v>
      </c>
      <c r="G86" s="21" t="s">
        <v>89</v>
      </c>
      <c r="H86" s="21" t="s">
        <v>89</v>
      </c>
      <c r="I86" s="21" t="s">
        <v>89</v>
      </c>
      <c r="K86" s="5">
        <v>73</v>
      </c>
      <c r="L86" t="s">
        <v>89</v>
      </c>
      <c r="M86" t="s">
        <v>89</v>
      </c>
      <c r="N86" t="s">
        <v>89</v>
      </c>
      <c r="O86" t="s">
        <v>89</v>
      </c>
      <c r="Q86" s="5">
        <v>73</v>
      </c>
      <c r="R86" s="22">
        <v>200</v>
      </c>
      <c r="S86" s="22">
        <v>210</v>
      </c>
      <c r="T86" s="22">
        <v>220</v>
      </c>
      <c r="U86" s="22">
        <v>230</v>
      </c>
      <c r="V86" s="22">
        <v>240</v>
      </c>
      <c r="W86" s="22">
        <v>250</v>
      </c>
      <c r="X86" s="22">
        <v>260</v>
      </c>
      <c r="Y86" s="22">
        <v>270</v>
      </c>
      <c r="Z86" s="22">
        <v>280</v>
      </c>
      <c r="AA86" s="22">
        <v>290</v>
      </c>
      <c r="AB86" s="22">
        <v>300</v>
      </c>
      <c r="AC86" s="22">
        <v>310</v>
      </c>
      <c r="AD86" s="22">
        <v>320</v>
      </c>
    </row>
    <row r="87" spans="2:30" x14ac:dyDescent="0.25">
      <c r="B87" s="5">
        <v>74</v>
      </c>
      <c r="C87">
        <v>1</v>
      </c>
      <c r="E87" s="5">
        <v>74</v>
      </c>
      <c r="F87" s="21">
        <v>98.4</v>
      </c>
      <c r="G87" s="21" t="s">
        <v>89</v>
      </c>
      <c r="H87" s="21" t="s">
        <v>89</v>
      </c>
      <c r="I87" s="21" t="s">
        <v>89</v>
      </c>
      <c r="K87" s="5">
        <v>74</v>
      </c>
      <c r="L87">
        <v>0.97889999999999999</v>
      </c>
      <c r="M87" t="s">
        <v>89</v>
      </c>
      <c r="N87" t="s">
        <v>89</v>
      </c>
      <c r="O87" t="s">
        <v>89</v>
      </c>
      <c r="Q87" s="5">
        <v>74</v>
      </c>
      <c r="R87" s="22">
        <v>200</v>
      </c>
      <c r="S87" s="22">
        <v>111.5924801341845</v>
      </c>
      <c r="T87" s="22">
        <v>121.5924801341845</v>
      </c>
      <c r="U87" s="22">
        <v>131.59248013418448</v>
      </c>
      <c r="V87" s="22">
        <v>141.59248013418448</v>
      </c>
      <c r="W87" s="22">
        <v>151.59248013418448</v>
      </c>
      <c r="X87" s="22">
        <v>161.59248013418448</v>
      </c>
      <c r="Y87" s="22">
        <v>171.59248013418448</v>
      </c>
      <c r="Z87" s="22">
        <v>181.59248013418448</v>
      </c>
      <c r="AA87" s="22">
        <v>191.59248013418448</v>
      </c>
      <c r="AB87" s="22">
        <v>201.59248013418448</v>
      </c>
      <c r="AC87" s="22">
        <v>211.59248013418448</v>
      </c>
      <c r="AD87" s="22">
        <v>221.59248013418448</v>
      </c>
    </row>
    <row r="88" spans="2:30" x14ac:dyDescent="0.25">
      <c r="B88" s="5">
        <v>75</v>
      </c>
      <c r="C88">
        <v>1</v>
      </c>
      <c r="E88" s="5">
        <v>75</v>
      </c>
      <c r="F88" s="21">
        <v>96.6</v>
      </c>
      <c r="G88" s="21" t="s">
        <v>89</v>
      </c>
      <c r="H88" s="21" t="s">
        <v>89</v>
      </c>
      <c r="I88" s="21" t="s">
        <v>89</v>
      </c>
      <c r="K88" s="5">
        <v>75</v>
      </c>
      <c r="L88">
        <v>0.38940000000000002</v>
      </c>
      <c r="M88" t="s">
        <v>89</v>
      </c>
      <c r="N88" t="s">
        <v>89</v>
      </c>
      <c r="O88" t="s">
        <v>89</v>
      </c>
      <c r="Q88" s="5">
        <v>75</v>
      </c>
      <c r="R88" s="22">
        <v>200</v>
      </c>
      <c r="S88" s="22">
        <v>113.42588107050233</v>
      </c>
      <c r="T88" s="22">
        <v>123.42588107050233</v>
      </c>
      <c r="U88" s="22">
        <v>133.42588107050233</v>
      </c>
      <c r="V88" s="22">
        <v>143.42588107050233</v>
      </c>
      <c r="W88" s="22">
        <v>153.42588107050233</v>
      </c>
      <c r="X88" s="22">
        <v>163.42588107050233</v>
      </c>
      <c r="Y88" s="22">
        <v>173.42588107050233</v>
      </c>
      <c r="Z88" s="22">
        <v>183.42588107050233</v>
      </c>
      <c r="AA88" s="22">
        <v>193.42588107050233</v>
      </c>
      <c r="AB88" s="22">
        <v>203.42588107050233</v>
      </c>
      <c r="AC88" s="22">
        <v>213.42588107050233</v>
      </c>
      <c r="AD88" s="22">
        <v>223.42588107050233</v>
      </c>
    </row>
    <row r="89" spans="2:30" x14ac:dyDescent="0.25">
      <c r="B89" s="5">
        <v>76</v>
      </c>
      <c r="C89">
        <v>0</v>
      </c>
      <c r="E89" s="5">
        <v>76</v>
      </c>
      <c r="F89" s="21" t="s">
        <v>89</v>
      </c>
      <c r="G89" s="21" t="s">
        <v>89</v>
      </c>
      <c r="H89" s="21" t="s">
        <v>89</v>
      </c>
      <c r="I89" s="21" t="s">
        <v>89</v>
      </c>
      <c r="K89" s="5">
        <v>76</v>
      </c>
      <c r="L89" t="s">
        <v>89</v>
      </c>
      <c r="M89" t="s">
        <v>89</v>
      </c>
      <c r="N89" t="s">
        <v>89</v>
      </c>
      <c r="O89" t="s">
        <v>89</v>
      </c>
      <c r="Q89" s="5">
        <v>76</v>
      </c>
      <c r="R89" s="22">
        <v>200</v>
      </c>
      <c r="S89" s="22">
        <v>210</v>
      </c>
      <c r="T89" s="22">
        <v>220</v>
      </c>
      <c r="U89" s="22">
        <v>230</v>
      </c>
      <c r="V89" s="22">
        <v>240</v>
      </c>
      <c r="W89" s="22">
        <v>250</v>
      </c>
      <c r="X89" s="22">
        <v>260</v>
      </c>
      <c r="Y89" s="22">
        <v>270</v>
      </c>
      <c r="Z89" s="22">
        <v>280</v>
      </c>
      <c r="AA89" s="22">
        <v>290</v>
      </c>
      <c r="AB89" s="22">
        <v>300</v>
      </c>
      <c r="AC89" s="22">
        <v>310</v>
      </c>
      <c r="AD89" s="22">
        <v>320</v>
      </c>
    </row>
    <row r="90" spans="2:30" x14ac:dyDescent="0.25">
      <c r="B90" s="5">
        <v>77</v>
      </c>
      <c r="C90">
        <v>0</v>
      </c>
      <c r="E90" s="5">
        <v>77</v>
      </c>
      <c r="F90" s="21" t="s">
        <v>89</v>
      </c>
      <c r="G90" s="21" t="s">
        <v>89</v>
      </c>
      <c r="H90" s="21" t="s">
        <v>89</v>
      </c>
      <c r="I90" s="21" t="s">
        <v>89</v>
      </c>
      <c r="K90" s="5">
        <v>77</v>
      </c>
      <c r="L90" t="s">
        <v>89</v>
      </c>
      <c r="M90" t="s">
        <v>89</v>
      </c>
      <c r="N90" t="s">
        <v>89</v>
      </c>
      <c r="O90" t="s">
        <v>89</v>
      </c>
      <c r="Q90" s="5">
        <v>77</v>
      </c>
      <c r="R90" s="22">
        <v>200</v>
      </c>
      <c r="S90" s="22">
        <v>210</v>
      </c>
      <c r="T90" s="22">
        <v>220</v>
      </c>
      <c r="U90" s="22">
        <v>230</v>
      </c>
      <c r="V90" s="22">
        <v>240</v>
      </c>
      <c r="W90" s="22">
        <v>250</v>
      </c>
      <c r="X90" s="22">
        <v>260</v>
      </c>
      <c r="Y90" s="22">
        <v>270</v>
      </c>
      <c r="Z90" s="22">
        <v>280</v>
      </c>
      <c r="AA90" s="22">
        <v>290</v>
      </c>
      <c r="AB90" s="22">
        <v>300</v>
      </c>
      <c r="AC90" s="22">
        <v>310</v>
      </c>
      <c r="AD90" s="22">
        <v>320</v>
      </c>
    </row>
    <row r="91" spans="2:30" x14ac:dyDescent="0.25">
      <c r="B91" s="5">
        <v>78</v>
      </c>
      <c r="C91">
        <v>0</v>
      </c>
      <c r="E91" s="5">
        <v>78</v>
      </c>
      <c r="F91" s="21" t="s">
        <v>89</v>
      </c>
      <c r="G91" s="21" t="s">
        <v>89</v>
      </c>
      <c r="H91" s="21" t="s">
        <v>89</v>
      </c>
      <c r="I91" s="21" t="s">
        <v>89</v>
      </c>
      <c r="K91" s="5">
        <v>78</v>
      </c>
      <c r="L91" t="s">
        <v>89</v>
      </c>
      <c r="M91" t="s">
        <v>89</v>
      </c>
      <c r="N91" t="s">
        <v>89</v>
      </c>
      <c r="O91" t="s">
        <v>89</v>
      </c>
      <c r="Q91" s="5">
        <v>78</v>
      </c>
      <c r="R91" s="22">
        <v>200</v>
      </c>
      <c r="S91" s="22">
        <v>210</v>
      </c>
      <c r="T91" s="22">
        <v>220</v>
      </c>
      <c r="U91" s="22">
        <v>230</v>
      </c>
      <c r="V91" s="22">
        <v>240</v>
      </c>
      <c r="W91" s="22">
        <v>250</v>
      </c>
      <c r="X91" s="22">
        <v>260</v>
      </c>
      <c r="Y91" s="22">
        <v>270</v>
      </c>
      <c r="Z91" s="22">
        <v>280</v>
      </c>
      <c r="AA91" s="22">
        <v>290</v>
      </c>
      <c r="AB91" s="22">
        <v>300</v>
      </c>
      <c r="AC91" s="22">
        <v>310</v>
      </c>
      <c r="AD91" s="22">
        <v>320</v>
      </c>
    </row>
    <row r="92" spans="2:30" x14ac:dyDescent="0.25">
      <c r="B92" s="5">
        <v>79</v>
      </c>
      <c r="C92">
        <v>0</v>
      </c>
      <c r="E92" s="5">
        <v>79</v>
      </c>
      <c r="F92" s="21" t="s">
        <v>89</v>
      </c>
      <c r="G92" s="21" t="s">
        <v>89</v>
      </c>
      <c r="H92" s="21" t="s">
        <v>89</v>
      </c>
      <c r="I92" s="21" t="s">
        <v>89</v>
      </c>
      <c r="K92" s="5">
        <v>79</v>
      </c>
      <c r="L92" t="s">
        <v>89</v>
      </c>
      <c r="M92" t="s">
        <v>89</v>
      </c>
      <c r="N92" t="s">
        <v>89</v>
      </c>
      <c r="O92" t="s">
        <v>89</v>
      </c>
      <c r="Q92" s="5">
        <v>79</v>
      </c>
      <c r="R92" s="22">
        <v>200</v>
      </c>
      <c r="S92" s="22">
        <v>210</v>
      </c>
      <c r="T92" s="22">
        <v>220</v>
      </c>
      <c r="U92" s="22">
        <v>230</v>
      </c>
      <c r="V92" s="22">
        <v>240</v>
      </c>
      <c r="W92" s="22">
        <v>250</v>
      </c>
      <c r="X92" s="22">
        <v>260</v>
      </c>
      <c r="Y92" s="22">
        <v>270</v>
      </c>
      <c r="Z92" s="22">
        <v>280</v>
      </c>
      <c r="AA92" s="22">
        <v>290</v>
      </c>
      <c r="AB92" s="22">
        <v>300</v>
      </c>
      <c r="AC92" s="22">
        <v>310</v>
      </c>
      <c r="AD92" s="22">
        <v>320</v>
      </c>
    </row>
    <row r="93" spans="2:30" x14ac:dyDescent="0.25">
      <c r="B93" s="5">
        <v>80</v>
      </c>
      <c r="C93">
        <v>0</v>
      </c>
      <c r="E93" s="5">
        <v>80</v>
      </c>
      <c r="F93" s="21" t="s">
        <v>89</v>
      </c>
      <c r="G93" s="21" t="s">
        <v>89</v>
      </c>
      <c r="H93" s="21" t="s">
        <v>89</v>
      </c>
      <c r="I93" s="21" t="s">
        <v>89</v>
      </c>
      <c r="K93" s="5">
        <v>80</v>
      </c>
      <c r="L93" t="s">
        <v>89</v>
      </c>
      <c r="M93" t="s">
        <v>89</v>
      </c>
      <c r="N93" t="s">
        <v>89</v>
      </c>
      <c r="O93" t="s">
        <v>89</v>
      </c>
      <c r="Q93" s="5">
        <v>80</v>
      </c>
      <c r="R93" s="22">
        <v>200</v>
      </c>
      <c r="S93" s="22">
        <v>210</v>
      </c>
      <c r="T93" s="22">
        <v>220</v>
      </c>
      <c r="U93" s="22">
        <v>230</v>
      </c>
      <c r="V93" s="22">
        <v>240</v>
      </c>
      <c r="W93" s="22">
        <v>250</v>
      </c>
      <c r="X93" s="22">
        <v>260</v>
      </c>
      <c r="Y93" s="22">
        <v>270</v>
      </c>
      <c r="Z93" s="22">
        <v>280</v>
      </c>
      <c r="AA93" s="22">
        <v>290</v>
      </c>
      <c r="AB93" s="22">
        <v>300</v>
      </c>
      <c r="AC93" s="22">
        <v>310</v>
      </c>
      <c r="AD93" s="22">
        <v>320</v>
      </c>
    </row>
    <row r="94" spans="2:30" x14ac:dyDescent="0.25">
      <c r="B94" s="5">
        <v>81</v>
      </c>
      <c r="C94">
        <v>0</v>
      </c>
      <c r="E94" s="5">
        <v>81</v>
      </c>
      <c r="F94" s="21" t="s">
        <v>89</v>
      </c>
      <c r="G94" s="21" t="s">
        <v>89</v>
      </c>
      <c r="H94" s="21" t="s">
        <v>89</v>
      </c>
      <c r="I94" s="21" t="s">
        <v>89</v>
      </c>
      <c r="K94" s="5">
        <v>81</v>
      </c>
      <c r="L94" t="s">
        <v>89</v>
      </c>
      <c r="M94" t="s">
        <v>89</v>
      </c>
      <c r="N94" t="s">
        <v>89</v>
      </c>
      <c r="O94" t="s">
        <v>89</v>
      </c>
      <c r="Q94" s="5">
        <v>81</v>
      </c>
      <c r="R94" s="22">
        <v>200</v>
      </c>
      <c r="S94" s="22">
        <v>210</v>
      </c>
      <c r="T94" s="22">
        <v>220</v>
      </c>
      <c r="U94" s="22">
        <v>230</v>
      </c>
      <c r="V94" s="22">
        <v>240</v>
      </c>
      <c r="W94" s="22">
        <v>250</v>
      </c>
      <c r="X94" s="22">
        <v>260</v>
      </c>
      <c r="Y94" s="22">
        <v>270</v>
      </c>
      <c r="Z94" s="22">
        <v>280</v>
      </c>
      <c r="AA94" s="22">
        <v>290</v>
      </c>
      <c r="AB94" s="22">
        <v>300</v>
      </c>
      <c r="AC94" s="22">
        <v>310</v>
      </c>
      <c r="AD94" s="22">
        <v>320</v>
      </c>
    </row>
    <row r="95" spans="2:30" x14ac:dyDescent="0.25">
      <c r="B95" s="5">
        <v>82</v>
      </c>
      <c r="C95">
        <v>0</v>
      </c>
      <c r="E95" s="5">
        <v>82</v>
      </c>
      <c r="F95" s="21" t="s">
        <v>89</v>
      </c>
      <c r="G95" s="21" t="s">
        <v>89</v>
      </c>
      <c r="H95" s="21" t="s">
        <v>89</v>
      </c>
      <c r="I95" s="21" t="s">
        <v>89</v>
      </c>
      <c r="K95" s="5">
        <v>82</v>
      </c>
      <c r="L95" t="s">
        <v>89</v>
      </c>
      <c r="M95" t="s">
        <v>89</v>
      </c>
      <c r="N95" t="s">
        <v>89</v>
      </c>
      <c r="O95" t="s">
        <v>89</v>
      </c>
      <c r="Q95" s="5">
        <v>82</v>
      </c>
      <c r="R95" s="22">
        <v>200</v>
      </c>
      <c r="S95" s="22">
        <v>210</v>
      </c>
      <c r="T95" s="22">
        <v>220</v>
      </c>
      <c r="U95" s="22">
        <v>230</v>
      </c>
      <c r="V95" s="22">
        <v>240</v>
      </c>
      <c r="W95" s="22">
        <v>250</v>
      </c>
      <c r="X95" s="22">
        <v>260</v>
      </c>
      <c r="Y95" s="22">
        <v>270</v>
      </c>
      <c r="Z95" s="22">
        <v>280</v>
      </c>
      <c r="AA95" s="22">
        <v>290</v>
      </c>
      <c r="AB95" s="22">
        <v>300</v>
      </c>
      <c r="AC95" s="22">
        <v>310</v>
      </c>
      <c r="AD95" s="22">
        <v>320</v>
      </c>
    </row>
    <row r="96" spans="2:30" x14ac:dyDescent="0.25">
      <c r="B96" s="5">
        <v>83</v>
      </c>
      <c r="C96">
        <v>1</v>
      </c>
      <c r="E96" s="5">
        <v>83</v>
      </c>
      <c r="F96" s="21">
        <v>99.1</v>
      </c>
      <c r="G96" s="21" t="s">
        <v>89</v>
      </c>
      <c r="H96" s="21" t="s">
        <v>89</v>
      </c>
      <c r="I96" s="21" t="s">
        <v>89</v>
      </c>
      <c r="K96" s="5">
        <v>83</v>
      </c>
      <c r="L96">
        <v>1.1389</v>
      </c>
      <c r="M96" t="s">
        <v>89</v>
      </c>
      <c r="N96" t="s">
        <v>89</v>
      </c>
      <c r="O96" t="s">
        <v>89</v>
      </c>
      <c r="Q96" s="5">
        <v>83</v>
      </c>
      <c r="R96" s="22">
        <v>200</v>
      </c>
      <c r="S96" s="22">
        <v>210</v>
      </c>
      <c r="T96" s="22">
        <v>120.92842655464378</v>
      </c>
      <c r="U96" s="22">
        <v>130.92842655464378</v>
      </c>
      <c r="V96" s="22">
        <v>140.92842655464378</v>
      </c>
      <c r="W96" s="22">
        <v>150.92842655464378</v>
      </c>
      <c r="X96" s="22">
        <v>160.92842655464378</v>
      </c>
      <c r="Y96" s="22">
        <v>170.92842655464378</v>
      </c>
      <c r="Z96" s="22">
        <v>180.92842655464378</v>
      </c>
      <c r="AA96" s="22">
        <v>190.92842655464378</v>
      </c>
      <c r="AB96" s="22">
        <v>200.92842655464378</v>
      </c>
      <c r="AC96" s="22">
        <v>210.92842655464378</v>
      </c>
      <c r="AD96" s="22">
        <v>220.92842655464378</v>
      </c>
    </row>
    <row r="97" spans="2:30" x14ac:dyDescent="0.25">
      <c r="B97" s="5">
        <v>84</v>
      </c>
      <c r="C97">
        <v>0</v>
      </c>
      <c r="E97" s="5">
        <v>84</v>
      </c>
      <c r="F97" s="21" t="s">
        <v>89</v>
      </c>
      <c r="G97" s="21" t="s">
        <v>89</v>
      </c>
      <c r="H97" s="21" t="s">
        <v>89</v>
      </c>
      <c r="I97" s="21" t="s">
        <v>89</v>
      </c>
      <c r="K97" s="5">
        <v>84</v>
      </c>
      <c r="L97" t="s">
        <v>89</v>
      </c>
      <c r="M97" t="s">
        <v>89</v>
      </c>
      <c r="N97" t="s">
        <v>89</v>
      </c>
      <c r="O97" t="s">
        <v>89</v>
      </c>
      <c r="Q97" s="5">
        <v>84</v>
      </c>
      <c r="R97" s="22">
        <v>200</v>
      </c>
      <c r="S97" s="22">
        <v>210</v>
      </c>
      <c r="T97" s="22">
        <v>220</v>
      </c>
      <c r="U97" s="22">
        <v>230</v>
      </c>
      <c r="V97" s="22">
        <v>240</v>
      </c>
      <c r="W97" s="22">
        <v>250</v>
      </c>
      <c r="X97" s="22">
        <v>260</v>
      </c>
      <c r="Y97" s="22">
        <v>270</v>
      </c>
      <c r="Z97" s="22">
        <v>280</v>
      </c>
      <c r="AA97" s="22">
        <v>290</v>
      </c>
      <c r="AB97" s="22">
        <v>300</v>
      </c>
      <c r="AC97" s="22">
        <v>310</v>
      </c>
      <c r="AD97" s="22">
        <v>320</v>
      </c>
    </row>
    <row r="98" spans="2:30" x14ac:dyDescent="0.25">
      <c r="B98" s="5">
        <v>85</v>
      </c>
      <c r="C98">
        <v>0</v>
      </c>
      <c r="E98" s="5">
        <v>85</v>
      </c>
      <c r="F98" s="21" t="s">
        <v>89</v>
      </c>
      <c r="G98" s="21" t="s">
        <v>89</v>
      </c>
      <c r="H98" s="21" t="s">
        <v>89</v>
      </c>
      <c r="I98" s="21" t="s">
        <v>89</v>
      </c>
      <c r="K98" s="5">
        <v>85</v>
      </c>
      <c r="L98" t="s">
        <v>89</v>
      </c>
      <c r="M98" t="s">
        <v>89</v>
      </c>
      <c r="N98" t="s">
        <v>89</v>
      </c>
      <c r="O98" t="s">
        <v>89</v>
      </c>
      <c r="Q98" s="5">
        <v>85</v>
      </c>
      <c r="R98" s="22">
        <v>200</v>
      </c>
      <c r="S98" s="22">
        <v>210</v>
      </c>
      <c r="T98" s="22">
        <v>220</v>
      </c>
      <c r="U98" s="22">
        <v>230</v>
      </c>
      <c r="V98" s="22">
        <v>240</v>
      </c>
      <c r="W98" s="22">
        <v>250</v>
      </c>
      <c r="X98" s="22">
        <v>260</v>
      </c>
      <c r="Y98" s="22">
        <v>270</v>
      </c>
      <c r="Z98" s="22">
        <v>280</v>
      </c>
      <c r="AA98" s="22">
        <v>290</v>
      </c>
      <c r="AB98" s="22">
        <v>300</v>
      </c>
      <c r="AC98" s="22">
        <v>310</v>
      </c>
      <c r="AD98" s="22">
        <v>320</v>
      </c>
    </row>
    <row r="99" spans="2:30" x14ac:dyDescent="0.25">
      <c r="B99" s="5">
        <v>86</v>
      </c>
      <c r="C99">
        <v>0</v>
      </c>
      <c r="E99" s="5">
        <v>86</v>
      </c>
      <c r="F99" s="21" t="s">
        <v>89</v>
      </c>
      <c r="G99" s="21" t="s">
        <v>89</v>
      </c>
      <c r="H99" s="21" t="s">
        <v>89</v>
      </c>
      <c r="I99" s="21" t="s">
        <v>89</v>
      </c>
      <c r="K99" s="5">
        <v>86</v>
      </c>
      <c r="L99" t="s">
        <v>89</v>
      </c>
      <c r="M99" t="s">
        <v>89</v>
      </c>
      <c r="N99" t="s">
        <v>89</v>
      </c>
      <c r="O99" t="s">
        <v>89</v>
      </c>
      <c r="Q99" s="5">
        <v>86</v>
      </c>
      <c r="R99" s="22">
        <v>200</v>
      </c>
      <c r="S99" s="22">
        <v>210</v>
      </c>
      <c r="T99" s="22">
        <v>220</v>
      </c>
      <c r="U99" s="22">
        <v>230</v>
      </c>
      <c r="V99" s="22">
        <v>240</v>
      </c>
      <c r="W99" s="22">
        <v>250</v>
      </c>
      <c r="X99" s="22">
        <v>260</v>
      </c>
      <c r="Y99" s="22">
        <v>270</v>
      </c>
      <c r="Z99" s="22">
        <v>280</v>
      </c>
      <c r="AA99" s="22">
        <v>290</v>
      </c>
      <c r="AB99" s="22">
        <v>300</v>
      </c>
      <c r="AC99" s="22">
        <v>310</v>
      </c>
      <c r="AD99" s="22">
        <v>320</v>
      </c>
    </row>
    <row r="100" spans="2:30" x14ac:dyDescent="0.25">
      <c r="B100" s="5">
        <v>87</v>
      </c>
      <c r="C100">
        <v>0</v>
      </c>
      <c r="E100" s="5">
        <v>87</v>
      </c>
      <c r="F100" s="21" t="s">
        <v>89</v>
      </c>
      <c r="G100" s="21" t="s">
        <v>89</v>
      </c>
      <c r="H100" s="21" t="s">
        <v>89</v>
      </c>
      <c r="I100" s="21" t="s">
        <v>89</v>
      </c>
      <c r="K100" s="5">
        <v>87</v>
      </c>
      <c r="L100" t="s">
        <v>89</v>
      </c>
      <c r="M100" t="s">
        <v>89</v>
      </c>
      <c r="N100" t="s">
        <v>89</v>
      </c>
      <c r="O100" t="s">
        <v>89</v>
      </c>
      <c r="Q100" s="5">
        <v>87</v>
      </c>
      <c r="R100" s="22">
        <v>200</v>
      </c>
      <c r="S100" s="22">
        <v>210</v>
      </c>
      <c r="T100" s="22">
        <v>220</v>
      </c>
      <c r="U100" s="22">
        <v>230</v>
      </c>
      <c r="V100" s="22">
        <v>240</v>
      </c>
      <c r="W100" s="22">
        <v>250</v>
      </c>
      <c r="X100" s="22">
        <v>260</v>
      </c>
      <c r="Y100" s="22">
        <v>270</v>
      </c>
      <c r="Z100" s="22">
        <v>280</v>
      </c>
      <c r="AA100" s="22">
        <v>290</v>
      </c>
      <c r="AB100" s="22">
        <v>300</v>
      </c>
      <c r="AC100" s="22">
        <v>310</v>
      </c>
      <c r="AD100" s="22">
        <v>320</v>
      </c>
    </row>
    <row r="101" spans="2:30" x14ac:dyDescent="0.25">
      <c r="B101" s="5">
        <v>88</v>
      </c>
      <c r="C101">
        <v>0</v>
      </c>
      <c r="E101" s="5">
        <v>88</v>
      </c>
      <c r="F101" s="21" t="s">
        <v>89</v>
      </c>
      <c r="G101" s="21" t="s">
        <v>89</v>
      </c>
      <c r="H101" s="21" t="s">
        <v>89</v>
      </c>
      <c r="I101" s="21" t="s">
        <v>89</v>
      </c>
      <c r="K101" s="5">
        <v>88</v>
      </c>
      <c r="L101" t="s">
        <v>89</v>
      </c>
      <c r="M101" t="s">
        <v>89</v>
      </c>
      <c r="N101" t="s">
        <v>89</v>
      </c>
      <c r="O101" t="s">
        <v>89</v>
      </c>
      <c r="Q101" s="5">
        <v>88</v>
      </c>
      <c r="R101" s="22">
        <v>200</v>
      </c>
      <c r="S101" s="22">
        <v>210</v>
      </c>
      <c r="T101" s="22">
        <v>220</v>
      </c>
      <c r="U101" s="22">
        <v>230</v>
      </c>
      <c r="V101" s="22">
        <v>240</v>
      </c>
      <c r="W101" s="22">
        <v>250</v>
      </c>
      <c r="X101" s="22">
        <v>260</v>
      </c>
      <c r="Y101" s="22">
        <v>270</v>
      </c>
      <c r="Z101" s="22">
        <v>280</v>
      </c>
      <c r="AA101" s="22">
        <v>290</v>
      </c>
      <c r="AB101" s="22">
        <v>300</v>
      </c>
      <c r="AC101" s="22">
        <v>310</v>
      </c>
      <c r="AD101" s="22">
        <v>320</v>
      </c>
    </row>
    <row r="102" spans="2:30" x14ac:dyDescent="0.25">
      <c r="B102" s="5">
        <v>89</v>
      </c>
      <c r="C102">
        <v>0</v>
      </c>
      <c r="E102" s="5">
        <v>89</v>
      </c>
      <c r="F102" s="21" t="s">
        <v>89</v>
      </c>
      <c r="G102" s="21" t="s">
        <v>89</v>
      </c>
      <c r="H102" s="21" t="s">
        <v>89</v>
      </c>
      <c r="I102" s="21" t="s">
        <v>89</v>
      </c>
      <c r="K102" s="5">
        <v>89</v>
      </c>
      <c r="L102" t="s">
        <v>89</v>
      </c>
      <c r="M102" t="s">
        <v>89</v>
      </c>
      <c r="N102" t="s">
        <v>89</v>
      </c>
      <c r="O102" t="s">
        <v>89</v>
      </c>
      <c r="Q102" s="5">
        <v>89</v>
      </c>
      <c r="R102" s="22">
        <v>200</v>
      </c>
      <c r="S102" s="22">
        <v>210</v>
      </c>
      <c r="T102" s="22">
        <v>220</v>
      </c>
      <c r="U102" s="22">
        <v>230</v>
      </c>
      <c r="V102" s="22">
        <v>240</v>
      </c>
      <c r="W102" s="22">
        <v>250</v>
      </c>
      <c r="X102" s="22">
        <v>260</v>
      </c>
      <c r="Y102" s="22">
        <v>270</v>
      </c>
      <c r="Z102" s="22">
        <v>280</v>
      </c>
      <c r="AA102" s="22">
        <v>290</v>
      </c>
      <c r="AB102" s="22">
        <v>300</v>
      </c>
      <c r="AC102" s="22">
        <v>310</v>
      </c>
      <c r="AD102" s="22">
        <v>320</v>
      </c>
    </row>
    <row r="103" spans="2:30" x14ac:dyDescent="0.25">
      <c r="B103" s="5">
        <v>90</v>
      </c>
      <c r="C103">
        <v>0</v>
      </c>
      <c r="E103" s="5">
        <v>90</v>
      </c>
      <c r="F103" s="21" t="s">
        <v>89</v>
      </c>
      <c r="G103" s="21" t="s">
        <v>89</v>
      </c>
      <c r="H103" s="21" t="s">
        <v>89</v>
      </c>
      <c r="I103" s="21" t="s">
        <v>89</v>
      </c>
      <c r="K103" s="5">
        <v>90</v>
      </c>
      <c r="L103" t="s">
        <v>89</v>
      </c>
      <c r="M103" t="s">
        <v>89</v>
      </c>
      <c r="N103" t="s">
        <v>89</v>
      </c>
      <c r="O103" t="s">
        <v>89</v>
      </c>
      <c r="Q103" s="5">
        <v>90</v>
      </c>
      <c r="R103" s="22">
        <v>200</v>
      </c>
      <c r="S103" s="22">
        <v>210</v>
      </c>
      <c r="T103" s="22">
        <v>220</v>
      </c>
      <c r="U103" s="22">
        <v>230</v>
      </c>
      <c r="V103" s="22">
        <v>240</v>
      </c>
      <c r="W103" s="22">
        <v>250</v>
      </c>
      <c r="X103" s="22">
        <v>260</v>
      </c>
      <c r="Y103" s="22">
        <v>270</v>
      </c>
      <c r="Z103" s="22">
        <v>280</v>
      </c>
      <c r="AA103" s="22">
        <v>290</v>
      </c>
      <c r="AB103" s="22">
        <v>300</v>
      </c>
      <c r="AC103" s="22">
        <v>310</v>
      </c>
      <c r="AD103" s="22">
        <v>320</v>
      </c>
    </row>
    <row r="104" spans="2:30" x14ac:dyDescent="0.25">
      <c r="B104" s="5">
        <v>91</v>
      </c>
      <c r="C104">
        <v>0</v>
      </c>
      <c r="E104" s="5">
        <v>91</v>
      </c>
      <c r="F104" s="21" t="s">
        <v>89</v>
      </c>
      <c r="G104" s="21" t="s">
        <v>89</v>
      </c>
      <c r="H104" s="21" t="s">
        <v>89</v>
      </c>
      <c r="I104" s="21" t="s">
        <v>89</v>
      </c>
      <c r="K104" s="5">
        <v>91</v>
      </c>
      <c r="L104" t="s">
        <v>89</v>
      </c>
      <c r="M104" t="s">
        <v>89</v>
      </c>
      <c r="N104" t="s">
        <v>89</v>
      </c>
      <c r="O104" t="s">
        <v>89</v>
      </c>
      <c r="Q104" s="5">
        <v>91</v>
      </c>
      <c r="R104" s="22">
        <v>200</v>
      </c>
      <c r="S104" s="22">
        <v>210</v>
      </c>
      <c r="T104" s="22">
        <v>220</v>
      </c>
      <c r="U104" s="22">
        <v>230</v>
      </c>
      <c r="V104" s="22">
        <v>240</v>
      </c>
      <c r="W104" s="22">
        <v>250</v>
      </c>
      <c r="X104" s="22">
        <v>260</v>
      </c>
      <c r="Y104" s="22">
        <v>270</v>
      </c>
      <c r="Z104" s="22">
        <v>280</v>
      </c>
      <c r="AA104" s="22">
        <v>290</v>
      </c>
      <c r="AB104" s="22">
        <v>300</v>
      </c>
      <c r="AC104" s="22">
        <v>310</v>
      </c>
      <c r="AD104" s="22">
        <v>320</v>
      </c>
    </row>
    <row r="105" spans="2:30" x14ac:dyDescent="0.25">
      <c r="B105" s="5">
        <v>92</v>
      </c>
      <c r="C105">
        <v>2</v>
      </c>
      <c r="E105" s="5">
        <v>92</v>
      </c>
      <c r="F105" s="21">
        <v>99</v>
      </c>
      <c r="G105" s="21">
        <v>100.8</v>
      </c>
      <c r="H105" s="21" t="s">
        <v>89</v>
      </c>
      <c r="I105" s="21" t="s">
        <v>89</v>
      </c>
      <c r="K105" s="5">
        <v>92</v>
      </c>
      <c r="L105">
        <v>2.3069999999999999</v>
      </c>
      <c r="M105">
        <v>7.0880999999999998</v>
      </c>
      <c r="N105" t="s">
        <v>89</v>
      </c>
      <c r="O105" t="s">
        <v>89</v>
      </c>
      <c r="Q105" s="5">
        <v>92</v>
      </c>
      <c r="R105" s="22">
        <v>200</v>
      </c>
      <c r="S105" s="22">
        <v>210</v>
      </c>
      <c r="T105" s="22">
        <v>220</v>
      </c>
      <c r="U105" s="22">
        <v>130.97439512749142</v>
      </c>
      <c r="V105" s="22">
        <v>140.97439512749142</v>
      </c>
      <c r="W105" s="22">
        <v>150.97439512749142</v>
      </c>
      <c r="X105" s="22">
        <v>160.97439512749142</v>
      </c>
      <c r="Y105" s="22">
        <v>170.97439512749142</v>
      </c>
      <c r="Z105" s="22">
        <v>180.97439512749142</v>
      </c>
      <c r="AA105" s="22">
        <v>190.97439512749142</v>
      </c>
      <c r="AB105" s="22">
        <v>100.12939272293997</v>
      </c>
      <c r="AC105" s="22">
        <v>110.12939272293997</v>
      </c>
      <c r="AD105" s="22">
        <v>120.12939272293997</v>
      </c>
    </row>
    <row r="106" spans="2:30" x14ac:dyDescent="0.25">
      <c r="B106" s="5">
        <v>93</v>
      </c>
      <c r="C106">
        <v>1</v>
      </c>
      <c r="E106" s="5">
        <v>93</v>
      </c>
      <c r="F106" s="21">
        <v>107.9</v>
      </c>
      <c r="G106" s="21" t="s">
        <v>89</v>
      </c>
      <c r="H106" s="21" t="s">
        <v>89</v>
      </c>
      <c r="I106" s="21" t="s">
        <v>89</v>
      </c>
      <c r="K106" s="5">
        <v>93</v>
      </c>
      <c r="L106">
        <v>2.8567</v>
      </c>
      <c r="M106" t="s">
        <v>89</v>
      </c>
      <c r="N106" t="s">
        <v>89</v>
      </c>
      <c r="O106" t="s">
        <v>89</v>
      </c>
      <c r="Q106" s="5">
        <v>93</v>
      </c>
      <c r="R106" s="22">
        <v>200</v>
      </c>
      <c r="S106" s="22">
        <v>210</v>
      </c>
      <c r="T106" s="22">
        <v>220</v>
      </c>
      <c r="U106" s="22">
        <v>122.07650247054416</v>
      </c>
      <c r="V106" s="22">
        <v>132.07650247054414</v>
      </c>
      <c r="W106" s="22">
        <v>142.07650247054414</v>
      </c>
      <c r="X106" s="22">
        <v>152.07650247054414</v>
      </c>
      <c r="Y106" s="22">
        <v>162.07650247054414</v>
      </c>
      <c r="Z106" s="22">
        <v>172.07650247054414</v>
      </c>
      <c r="AA106" s="22">
        <v>182.07650247054414</v>
      </c>
      <c r="AB106" s="22">
        <v>192.07650247054414</v>
      </c>
      <c r="AC106" s="22">
        <v>202.07650247054414</v>
      </c>
      <c r="AD106" s="22">
        <v>212.07650247054414</v>
      </c>
    </row>
    <row r="107" spans="2:30" x14ac:dyDescent="0.25">
      <c r="B107" s="5">
        <v>94</v>
      </c>
      <c r="C107">
        <v>0</v>
      </c>
      <c r="E107" s="5">
        <v>94</v>
      </c>
      <c r="F107" s="21" t="s">
        <v>89</v>
      </c>
      <c r="G107" s="21" t="s">
        <v>89</v>
      </c>
      <c r="H107" s="21" t="s">
        <v>89</v>
      </c>
      <c r="I107" s="21" t="s">
        <v>89</v>
      </c>
      <c r="K107" s="5">
        <v>94</v>
      </c>
      <c r="L107" t="s">
        <v>89</v>
      </c>
      <c r="M107" t="s">
        <v>89</v>
      </c>
      <c r="N107" t="s">
        <v>89</v>
      </c>
      <c r="O107" t="s">
        <v>89</v>
      </c>
      <c r="Q107" s="5">
        <v>94</v>
      </c>
      <c r="R107" s="22">
        <v>200</v>
      </c>
      <c r="S107" s="22">
        <v>210</v>
      </c>
      <c r="T107" s="22">
        <v>220</v>
      </c>
      <c r="U107" s="22">
        <v>230</v>
      </c>
      <c r="V107" s="22">
        <v>240</v>
      </c>
      <c r="W107" s="22">
        <v>250</v>
      </c>
      <c r="X107" s="22">
        <v>260</v>
      </c>
      <c r="Y107" s="22">
        <v>270</v>
      </c>
      <c r="Z107" s="22">
        <v>280</v>
      </c>
      <c r="AA107" s="22">
        <v>290</v>
      </c>
      <c r="AB107" s="22">
        <v>300</v>
      </c>
      <c r="AC107" s="22">
        <v>310</v>
      </c>
      <c r="AD107" s="22">
        <v>320</v>
      </c>
    </row>
    <row r="108" spans="2:30" x14ac:dyDescent="0.25">
      <c r="B108" s="5">
        <v>95</v>
      </c>
      <c r="C108">
        <v>0</v>
      </c>
      <c r="E108" s="5">
        <v>95</v>
      </c>
      <c r="F108" s="21" t="s">
        <v>89</v>
      </c>
      <c r="G108" s="21" t="s">
        <v>89</v>
      </c>
      <c r="H108" s="21" t="s">
        <v>89</v>
      </c>
      <c r="I108" s="21" t="s">
        <v>89</v>
      </c>
      <c r="K108" s="5">
        <v>95</v>
      </c>
      <c r="L108" t="s">
        <v>89</v>
      </c>
      <c r="M108" t="s">
        <v>89</v>
      </c>
      <c r="N108" t="s">
        <v>89</v>
      </c>
      <c r="O108" t="s">
        <v>89</v>
      </c>
      <c r="Q108" s="5">
        <v>95</v>
      </c>
      <c r="R108" s="22">
        <v>200</v>
      </c>
      <c r="S108" s="22">
        <v>210</v>
      </c>
      <c r="T108" s="22">
        <v>220</v>
      </c>
      <c r="U108" s="22">
        <v>230</v>
      </c>
      <c r="V108" s="22">
        <v>240</v>
      </c>
      <c r="W108" s="22">
        <v>250</v>
      </c>
      <c r="X108" s="22">
        <v>260</v>
      </c>
      <c r="Y108" s="22">
        <v>270</v>
      </c>
      <c r="Z108" s="22">
        <v>280</v>
      </c>
      <c r="AA108" s="22">
        <v>290</v>
      </c>
      <c r="AB108" s="22">
        <v>300</v>
      </c>
      <c r="AC108" s="22">
        <v>310</v>
      </c>
      <c r="AD108" s="22">
        <v>320</v>
      </c>
    </row>
    <row r="109" spans="2:30" x14ac:dyDescent="0.25">
      <c r="B109" s="5">
        <v>96</v>
      </c>
      <c r="C109">
        <v>0</v>
      </c>
      <c r="E109" s="5">
        <v>96</v>
      </c>
      <c r="F109" s="21" t="s">
        <v>89</v>
      </c>
      <c r="G109" s="21" t="s">
        <v>89</v>
      </c>
      <c r="H109" s="21" t="s">
        <v>89</v>
      </c>
      <c r="I109" s="21" t="s">
        <v>89</v>
      </c>
      <c r="K109" s="5">
        <v>96</v>
      </c>
      <c r="L109" t="s">
        <v>89</v>
      </c>
      <c r="M109" t="s">
        <v>89</v>
      </c>
      <c r="N109" t="s">
        <v>89</v>
      </c>
      <c r="O109" t="s">
        <v>89</v>
      </c>
      <c r="Q109" s="5">
        <v>96</v>
      </c>
      <c r="R109" s="22">
        <v>200</v>
      </c>
      <c r="S109" s="22">
        <v>210</v>
      </c>
      <c r="T109" s="22">
        <v>220</v>
      </c>
      <c r="U109" s="22">
        <v>230</v>
      </c>
      <c r="V109" s="22">
        <v>240</v>
      </c>
      <c r="W109" s="22">
        <v>250</v>
      </c>
      <c r="X109" s="22">
        <v>260</v>
      </c>
      <c r="Y109" s="22">
        <v>270</v>
      </c>
      <c r="Z109" s="22">
        <v>280</v>
      </c>
      <c r="AA109" s="22">
        <v>290</v>
      </c>
      <c r="AB109" s="22">
        <v>300</v>
      </c>
      <c r="AC109" s="22">
        <v>310</v>
      </c>
      <c r="AD109" s="22">
        <v>320</v>
      </c>
    </row>
    <row r="110" spans="2:30" x14ac:dyDescent="0.25">
      <c r="B110" s="5">
        <v>97</v>
      </c>
      <c r="C110">
        <v>2</v>
      </c>
      <c r="E110" s="5">
        <v>97</v>
      </c>
      <c r="F110" s="21">
        <v>107.4</v>
      </c>
      <c r="G110" s="21">
        <v>89.9</v>
      </c>
      <c r="H110" s="21" t="s">
        <v>89</v>
      </c>
      <c r="I110" s="21" t="s">
        <v>89</v>
      </c>
      <c r="K110" s="5">
        <v>97</v>
      </c>
      <c r="L110">
        <v>1.6657</v>
      </c>
      <c r="M110">
        <v>0.37919999999999998</v>
      </c>
      <c r="N110" t="s">
        <v>89</v>
      </c>
      <c r="O110" t="s">
        <v>89</v>
      </c>
      <c r="Q110" s="5">
        <v>97</v>
      </c>
      <c r="R110" s="22">
        <v>200</v>
      </c>
      <c r="S110" s="22">
        <v>210</v>
      </c>
      <c r="T110" s="22">
        <v>112.6356624250796</v>
      </c>
      <c r="U110" s="22">
        <v>32.759987445820741</v>
      </c>
      <c r="V110" s="22">
        <v>42.759987445820741</v>
      </c>
      <c r="W110" s="22">
        <v>52.759987445820741</v>
      </c>
      <c r="X110" s="22">
        <v>62.759987445820741</v>
      </c>
      <c r="Y110" s="22">
        <v>72.759987445820741</v>
      </c>
      <c r="Z110" s="22">
        <v>82.759987445820741</v>
      </c>
      <c r="AA110" s="22">
        <v>92.759987445820741</v>
      </c>
      <c r="AB110" s="22">
        <v>102.75998744582074</v>
      </c>
      <c r="AC110" s="22">
        <v>112.75998744582074</v>
      </c>
      <c r="AD110" s="22">
        <v>122.75998744582074</v>
      </c>
    </row>
    <row r="111" spans="2:30" x14ac:dyDescent="0.25">
      <c r="B111" s="5">
        <v>98</v>
      </c>
      <c r="C111">
        <v>1</v>
      </c>
      <c r="E111" s="5">
        <v>98</v>
      </c>
      <c r="F111" s="21">
        <v>94.8</v>
      </c>
      <c r="G111" s="21" t="s">
        <v>89</v>
      </c>
      <c r="H111" s="21" t="s">
        <v>89</v>
      </c>
      <c r="I111" s="21" t="s">
        <v>89</v>
      </c>
      <c r="K111" s="5">
        <v>98</v>
      </c>
      <c r="L111">
        <v>1.3934</v>
      </c>
      <c r="M111" t="s">
        <v>89</v>
      </c>
      <c r="N111" t="s">
        <v>89</v>
      </c>
      <c r="O111" t="s">
        <v>89</v>
      </c>
      <c r="Q111" s="5">
        <v>98</v>
      </c>
      <c r="R111" s="22">
        <v>200</v>
      </c>
      <c r="S111" s="22">
        <v>210</v>
      </c>
      <c r="T111" s="22">
        <v>125.1894197148921</v>
      </c>
      <c r="U111" s="22">
        <v>135.1894197148921</v>
      </c>
      <c r="V111" s="22">
        <v>145.1894197148921</v>
      </c>
      <c r="W111" s="22">
        <v>155.1894197148921</v>
      </c>
      <c r="X111" s="22">
        <v>165.1894197148921</v>
      </c>
      <c r="Y111" s="22">
        <v>175.1894197148921</v>
      </c>
      <c r="Z111" s="22">
        <v>185.1894197148921</v>
      </c>
      <c r="AA111" s="22">
        <v>195.1894197148921</v>
      </c>
      <c r="AB111" s="22">
        <v>205.1894197148921</v>
      </c>
      <c r="AC111" s="22">
        <v>215.1894197148921</v>
      </c>
      <c r="AD111" s="22">
        <v>225.1894197148921</v>
      </c>
    </row>
    <row r="112" spans="2:30" x14ac:dyDescent="0.25">
      <c r="B112" s="5">
        <v>99</v>
      </c>
      <c r="C112">
        <v>1</v>
      </c>
      <c r="E112" s="5">
        <v>99</v>
      </c>
      <c r="F112" s="21">
        <v>110.4</v>
      </c>
      <c r="G112" s="21" t="s">
        <v>89</v>
      </c>
      <c r="H112" s="21" t="s">
        <v>89</v>
      </c>
      <c r="I112" s="21" t="s">
        <v>89</v>
      </c>
      <c r="K112" s="5">
        <v>99</v>
      </c>
      <c r="L112">
        <v>0.81899999999999995</v>
      </c>
      <c r="M112" t="s">
        <v>89</v>
      </c>
      <c r="N112" t="s">
        <v>89</v>
      </c>
      <c r="O112" t="s">
        <v>89</v>
      </c>
      <c r="Q112" s="5">
        <v>99</v>
      </c>
      <c r="R112" s="22">
        <v>200</v>
      </c>
      <c r="S112" s="22">
        <v>99.631657885184055</v>
      </c>
      <c r="T112" s="22">
        <v>109.63165788518405</v>
      </c>
      <c r="U112" s="22">
        <v>119.63165788518405</v>
      </c>
      <c r="V112" s="22">
        <v>129.63165788518404</v>
      </c>
      <c r="W112" s="22">
        <v>139.63165788518404</v>
      </c>
      <c r="X112" s="22">
        <v>149.63165788518404</v>
      </c>
      <c r="Y112" s="22">
        <v>159.63165788518404</v>
      </c>
      <c r="Z112" s="22">
        <v>169.63165788518404</v>
      </c>
      <c r="AA112" s="22">
        <v>179.63165788518404</v>
      </c>
      <c r="AB112" s="22">
        <v>189.63165788518404</v>
      </c>
      <c r="AC112" s="22">
        <v>199.63165788518404</v>
      </c>
      <c r="AD112" s="22">
        <v>209.63165788518404</v>
      </c>
    </row>
    <row r="113" spans="2:30" x14ac:dyDescent="0.25">
      <c r="B113" s="5">
        <v>100</v>
      </c>
      <c r="C113">
        <v>0</v>
      </c>
      <c r="E113" s="5">
        <v>100</v>
      </c>
      <c r="F113" s="21" t="s">
        <v>89</v>
      </c>
      <c r="G113" s="21" t="s">
        <v>89</v>
      </c>
      <c r="H113" s="21" t="s">
        <v>89</v>
      </c>
      <c r="I113" s="21" t="s">
        <v>89</v>
      </c>
      <c r="K113" s="5">
        <v>100</v>
      </c>
      <c r="L113" t="s">
        <v>89</v>
      </c>
      <c r="M113" t="s">
        <v>89</v>
      </c>
      <c r="N113" t="s">
        <v>89</v>
      </c>
      <c r="O113" t="s">
        <v>89</v>
      </c>
      <c r="Q113" s="5">
        <v>100</v>
      </c>
      <c r="R113" s="22">
        <v>200</v>
      </c>
      <c r="S113" s="22">
        <v>210</v>
      </c>
      <c r="T113" s="22">
        <v>220</v>
      </c>
      <c r="U113" s="22">
        <v>230</v>
      </c>
      <c r="V113" s="22">
        <v>240</v>
      </c>
      <c r="W113" s="22">
        <v>250</v>
      </c>
      <c r="X113" s="22">
        <v>260</v>
      </c>
      <c r="Y113" s="22">
        <v>270</v>
      </c>
      <c r="Z113" s="22">
        <v>280</v>
      </c>
      <c r="AA113" s="22">
        <v>290</v>
      </c>
      <c r="AB113" s="22">
        <v>300</v>
      </c>
      <c r="AC113" s="22">
        <v>310</v>
      </c>
      <c r="AD113" s="22">
        <v>320</v>
      </c>
    </row>
  </sheetData>
  <mergeCells count="1">
    <mergeCell ref="R14:AD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F729-5410-442B-B568-7A25AFBAB517}">
  <sheetPr>
    <tabColor theme="4" tint="0.79998168889431442"/>
  </sheetPr>
  <dimension ref="B2:F19"/>
  <sheetViews>
    <sheetView zoomScaleNormal="100" workbookViewId="0"/>
  </sheetViews>
  <sheetFormatPr defaultRowHeight="15" x14ac:dyDescent="0.25"/>
  <cols>
    <col min="3" max="5" width="15.28515625" customWidth="1"/>
  </cols>
  <sheetData>
    <row r="2" spans="2:6" x14ac:dyDescent="0.25">
      <c r="B2" t="s">
        <v>24</v>
      </c>
      <c r="C2">
        <f>'Q1 Data'!C6</f>
        <v>0.5</v>
      </c>
    </row>
    <row r="4" spans="2:6" x14ac:dyDescent="0.25">
      <c r="B4" t="s">
        <v>91</v>
      </c>
      <c r="C4" t="s">
        <v>92</v>
      </c>
    </row>
    <row r="6" spans="2:6" x14ac:dyDescent="0.25">
      <c r="C6" t="s">
        <v>93</v>
      </c>
      <c r="D6" t="s">
        <v>94</v>
      </c>
    </row>
    <row r="7" spans="2:6" x14ac:dyDescent="0.25">
      <c r="C7">
        <v>0</v>
      </c>
      <c r="D7" s="23">
        <f>(EXP(-$C$2)*$C$2^C7)/FACT(C7)</f>
        <v>0.60653065971263342</v>
      </c>
      <c r="F7" s="24"/>
    </row>
    <row r="8" spans="2:6" x14ac:dyDescent="0.25">
      <c r="C8">
        <v>1</v>
      </c>
      <c r="D8" s="23">
        <f>(EXP(-$C$2)*$C$2^C8)/FACT(C8)</f>
        <v>0.30326532985631671</v>
      </c>
    </row>
    <row r="9" spans="2:6" x14ac:dyDescent="0.25">
      <c r="C9">
        <v>2</v>
      </c>
      <c r="D9" s="23">
        <f>(EXP(-$C$2)*$C$2^C9)/FACT(C9)</f>
        <v>7.5816332464079178E-2</v>
      </c>
      <c r="F9" s="25" t="s">
        <v>0</v>
      </c>
    </row>
    <row r="10" spans="2:6" x14ac:dyDescent="0.25">
      <c r="D10" s="23"/>
    </row>
    <row r="11" spans="2:6" x14ac:dyDescent="0.25">
      <c r="C11" t="s">
        <v>95</v>
      </c>
      <c r="D11" s="9">
        <f>SUM(D7:D9)</f>
        <v>0.98561232203302929</v>
      </c>
      <c r="F11" s="25" t="s">
        <v>0</v>
      </c>
    </row>
    <row r="12" spans="2:6" x14ac:dyDescent="0.25">
      <c r="D12" s="23"/>
    </row>
    <row r="13" spans="2:6" x14ac:dyDescent="0.25">
      <c r="C13" s="24" t="s">
        <v>187</v>
      </c>
      <c r="D13" s="23"/>
      <c r="F13" s="24"/>
    </row>
    <row r="15" spans="2:6" x14ac:dyDescent="0.25">
      <c r="B15" t="s">
        <v>96</v>
      </c>
      <c r="C15" t="s">
        <v>183</v>
      </c>
    </row>
    <row r="17" spans="3:6" x14ac:dyDescent="0.25">
      <c r="C17" t="s">
        <v>97</v>
      </c>
      <c r="F17" s="25" t="s">
        <v>0</v>
      </c>
    </row>
    <row r="19" spans="3:6" x14ac:dyDescent="0.25">
      <c r="C19" t="s">
        <v>98</v>
      </c>
      <c r="D19" s="9">
        <f>EXP(-C2*3)</f>
        <v>0.22313016014842982</v>
      </c>
      <c r="F19" s="25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6FC3A-00BE-40D9-BD3C-F10A622327BA}">
  <sheetPr>
    <tabColor theme="4" tint="0.79998168889431442"/>
  </sheetPr>
  <dimension ref="B2:F6"/>
  <sheetViews>
    <sheetView zoomScaleNormal="100" workbookViewId="0"/>
  </sheetViews>
  <sheetFormatPr defaultRowHeight="15" x14ac:dyDescent="0.25"/>
  <cols>
    <col min="3" max="3" width="14.5703125" bestFit="1" customWidth="1"/>
    <col min="5" max="5" width="11.5703125" bestFit="1" customWidth="1"/>
    <col min="6" max="6" width="11.5703125" customWidth="1"/>
  </cols>
  <sheetData>
    <row r="2" spans="2:6" x14ac:dyDescent="0.25">
      <c r="B2" t="s">
        <v>91</v>
      </c>
      <c r="C2" t="s">
        <v>64</v>
      </c>
      <c r="D2" t="s">
        <v>39</v>
      </c>
      <c r="E2" s="7">
        <f>AVERAGE('Q1 Data'!$C$14:$C$113)</f>
        <v>0.51</v>
      </c>
      <c r="F2" s="25" t="s">
        <v>0</v>
      </c>
    </row>
    <row r="3" spans="2:6" x14ac:dyDescent="0.25">
      <c r="D3" t="s">
        <v>99</v>
      </c>
      <c r="E3" s="7">
        <f>_xlfn.STDEV.P('Q1 Data'!$C$14:$C$113)</f>
        <v>0.76804947757289699</v>
      </c>
      <c r="F3" s="25" t="s">
        <v>0</v>
      </c>
    </row>
    <row r="5" spans="2:6" x14ac:dyDescent="0.25">
      <c r="B5" t="s">
        <v>96</v>
      </c>
      <c r="C5" t="s">
        <v>65</v>
      </c>
      <c r="D5" t="s">
        <v>39</v>
      </c>
      <c r="E5" s="26">
        <f>AVERAGE('Q1 Data'!$F$14:$I$113)</f>
        <v>99.680392156862737</v>
      </c>
      <c r="F5" s="25" t="s">
        <v>0</v>
      </c>
    </row>
    <row r="6" spans="2:6" x14ac:dyDescent="0.25">
      <c r="D6" t="s">
        <v>99</v>
      </c>
      <c r="E6" s="26">
        <f>_xlfn.STDEV.P('Q1 Data'!$F$14:$I$113)</f>
        <v>5.9915633367896568</v>
      </c>
      <c r="F6" s="25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A8BB6-2F7B-400B-A0D2-12ACCFC6D79C}">
  <sheetPr>
    <tabColor theme="4" tint="0.79998168889431442"/>
  </sheetPr>
  <dimension ref="B2:C9"/>
  <sheetViews>
    <sheetView zoomScaleNormal="100" workbookViewId="0"/>
  </sheetViews>
  <sheetFormatPr defaultRowHeight="15" x14ac:dyDescent="0.25"/>
  <cols>
    <col min="2" max="2" width="108.140625" customWidth="1"/>
  </cols>
  <sheetData>
    <row r="2" spans="2:3" x14ac:dyDescent="0.25">
      <c r="B2" t="s">
        <v>2</v>
      </c>
    </row>
    <row r="3" spans="2:3" x14ac:dyDescent="0.25">
      <c r="B3" s="6" t="s">
        <v>100</v>
      </c>
      <c r="C3" s="25" t="s">
        <v>0</v>
      </c>
    </row>
    <row r="4" spans="2:3" x14ac:dyDescent="0.25">
      <c r="B4" s="6" t="s">
        <v>101</v>
      </c>
      <c r="C4" s="25" t="s">
        <v>0</v>
      </c>
    </row>
    <row r="5" spans="2:3" x14ac:dyDescent="0.25">
      <c r="B5" s="6" t="s">
        <v>102</v>
      </c>
      <c r="C5" s="25" t="s">
        <v>0</v>
      </c>
    </row>
    <row r="6" spans="2:3" x14ac:dyDescent="0.25">
      <c r="B6" s="6" t="s">
        <v>103</v>
      </c>
      <c r="C6" s="25" t="s">
        <v>0</v>
      </c>
    </row>
    <row r="7" spans="2:3" x14ac:dyDescent="0.25">
      <c r="B7" s="6"/>
      <c r="C7" s="25" t="s">
        <v>20</v>
      </c>
    </row>
    <row r="8" spans="2:3" x14ac:dyDescent="0.25">
      <c r="B8" s="6"/>
      <c r="C8" s="25" t="s">
        <v>58</v>
      </c>
    </row>
    <row r="9" spans="2:3" x14ac:dyDescent="0.25">
      <c r="B9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A11E3-3EA9-4067-9FA9-4A8B4CE93704}">
  <sheetPr>
    <tabColor theme="4" tint="0.79998168889431442"/>
  </sheetPr>
  <dimension ref="B2:M9"/>
  <sheetViews>
    <sheetView zoomScaleNormal="100" workbookViewId="0">
      <selection activeCell="A2" sqref="A2"/>
    </sheetView>
  </sheetViews>
  <sheetFormatPr defaultRowHeight="15" x14ac:dyDescent="0.25"/>
  <cols>
    <col min="2" max="2" width="14" customWidth="1"/>
  </cols>
  <sheetData>
    <row r="2" spans="2:13" x14ac:dyDescent="0.25">
      <c r="B2" t="s">
        <v>41</v>
      </c>
      <c r="C2" t="s">
        <v>184</v>
      </c>
      <c r="D2" t="s">
        <v>72</v>
      </c>
      <c r="E2" t="s">
        <v>73</v>
      </c>
      <c r="F2" t="s">
        <v>74</v>
      </c>
      <c r="G2" t="s">
        <v>75</v>
      </c>
      <c r="I2" t="s">
        <v>41</v>
      </c>
      <c r="J2" t="s">
        <v>104</v>
      </c>
      <c r="K2" t="s">
        <v>105</v>
      </c>
      <c r="L2" t="s">
        <v>106</v>
      </c>
      <c r="M2" t="s">
        <v>107</v>
      </c>
    </row>
    <row r="3" spans="2:13" x14ac:dyDescent="0.25">
      <c r="B3">
        <f>'Q1 Data'!B72</f>
        <v>59</v>
      </c>
      <c r="C3">
        <f>'Q1 Data'!C72</f>
        <v>4</v>
      </c>
      <c r="D3">
        <f>'Q1 Data'!L72</f>
        <v>3.4937999999999998</v>
      </c>
      <c r="E3">
        <f>'Q1 Data'!M72</f>
        <v>1.1029</v>
      </c>
      <c r="F3">
        <f>'Q1 Data'!N72</f>
        <v>0.31490000000000001</v>
      </c>
      <c r="G3">
        <f>'Q1 Data'!O72</f>
        <v>0.56330000000000002</v>
      </c>
      <c r="I3">
        <f>'Q1 Data'!E72</f>
        <v>59</v>
      </c>
      <c r="J3">
        <f>'Q1 Data'!F72</f>
        <v>104.3</v>
      </c>
      <c r="K3">
        <f>'Q1 Data'!G72</f>
        <v>99.4</v>
      </c>
      <c r="L3">
        <f>'Q1 Data'!H72</f>
        <v>91.7</v>
      </c>
      <c r="M3">
        <f>'Q1 Data'!I72</f>
        <v>92.9</v>
      </c>
    </row>
    <row r="5" spans="2:13" x14ac:dyDescent="0.25">
      <c r="B5" t="s">
        <v>60</v>
      </c>
      <c r="C5" s="6">
        <f>'Q1 Data'!C4</f>
        <v>200</v>
      </c>
      <c r="E5" s="25" t="s">
        <v>0</v>
      </c>
    </row>
    <row r="6" spans="2:13" x14ac:dyDescent="0.25">
      <c r="B6" t="s">
        <v>108</v>
      </c>
      <c r="C6" s="6">
        <f>'Q1 Data'!C5*12</f>
        <v>120</v>
      </c>
      <c r="E6" s="25" t="s">
        <v>0</v>
      </c>
    </row>
    <row r="7" spans="2:13" x14ac:dyDescent="0.25">
      <c r="B7" t="s">
        <v>109</v>
      </c>
      <c r="C7" s="6">
        <f>SUM(J3:M3)</f>
        <v>388.29999999999995</v>
      </c>
      <c r="E7" s="25" t="s">
        <v>0</v>
      </c>
    </row>
    <row r="9" spans="2:13" x14ac:dyDescent="0.25">
      <c r="B9" t="s">
        <v>88</v>
      </c>
      <c r="C9" s="13">
        <f>C5+C6-C7</f>
        <v>-68.299999999999955</v>
      </c>
      <c r="E9" s="25" t="s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A52E-5A0D-4756-BD53-42211706033E}">
  <sheetPr>
    <tabColor theme="4" tint="0.79998168889431442"/>
  </sheetPr>
  <dimension ref="B2:R37"/>
  <sheetViews>
    <sheetView zoomScaleNormal="100" workbookViewId="0"/>
  </sheetViews>
  <sheetFormatPr defaultRowHeight="15" x14ac:dyDescent="0.25"/>
  <cols>
    <col min="2" max="2" width="13.42578125" customWidth="1"/>
  </cols>
  <sheetData>
    <row r="2" spans="2:13" x14ac:dyDescent="0.25">
      <c r="B2" t="s">
        <v>60</v>
      </c>
      <c r="C2">
        <f>'Q1 Data'!C4</f>
        <v>200</v>
      </c>
    </row>
    <row r="3" spans="2:13" x14ac:dyDescent="0.25">
      <c r="B3" t="s">
        <v>61</v>
      </c>
      <c r="C3">
        <f>'Q1 Data'!C5</f>
        <v>10</v>
      </c>
    </row>
    <row r="5" spans="2:13" x14ac:dyDescent="0.25">
      <c r="B5" t="s">
        <v>41</v>
      </c>
      <c r="C5" t="s">
        <v>184</v>
      </c>
      <c r="D5" t="s">
        <v>72</v>
      </c>
      <c r="E5" t="s">
        <v>73</v>
      </c>
      <c r="F5" t="s">
        <v>74</v>
      </c>
      <c r="G5" t="s">
        <v>75</v>
      </c>
      <c r="I5" t="s">
        <v>41</v>
      </c>
      <c r="J5" t="s">
        <v>104</v>
      </c>
      <c r="K5" t="s">
        <v>105</v>
      </c>
      <c r="L5" t="s">
        <v>106</v>
      </c>
      <c r="M5" t="s">
        <v>107</v>
      </c>
    </row>
    <row r="6" spans="2:13" x14ac:dyDescent="0.25">
      <c r="B6">
        <v>1</v>
      </c>
      <c r="C6">
        <v>1</v>
      </c>
      <c r="D6">
        <v>1.2496</v>
      </c>
      <c r="E6" t="s">
        <v>89</v>
      </c>
      <c r="F6" t="s">
        <v>89</v>
      </c>
      <c r="G6" t="s">
        <v>89</v>
      </c>
      <c r="I6">
        <v>1</v>
      </c>
      <c r="J6" s="21">
        <v>106.3</v>
      </c>
      <c r="K6" s="21" t="s">
        <v>89</v>
      </c>
      <c r="L6" s="21" t="s">
        <v>89</v>
      </c>
      <c r="M6" s="21" t="s">
        <v>89</v>
      </c>
    </row>
    <row r="7" spans="2:13" x14ac:dyDescent="0.25">
      <c r="B7">
        <v>2</v>
      </c>
      <c r="C7">
        <v>0</v>
      </c>
      <c r="D7" t="s">
        <v>89</v>
      </c>
      <c r="E7" t="s">
        <v>89</v>
      </c>
      <c r="F7" t="s">
        <v>89</v>
      </c>
      <c r="G7" t="s">
        <v>89</v>
      </c>
      <c r="I7">
        <v>2</v>
      </c>
      <c r="J7" s="21" t="s">
        <v>89</v>
      </c>
      <c r="K7" s="21" t="s">
        <v>89</v>
      </c>
      <c r="L7" s="21" t="s">
        <v>89</v>
      </c>
      <c r="M7" s="21" t="s">
        <v>89</v>
      </c>
    </row>
    <row r="8" spans="2:13" x14ac:dyDescent="0.25">
      <c r="B8">
        <v>3</v>
      </c>
      <c r="C8">
        <v>2</v>
      </c>
      <c r="D8">
        <v>0.4032</v>
      </c>
      <c r="E8">
        <v>1.089</v>
      </c>
      <c r="F8" t="s">
        <v>89</v>
      </c>
      <c r="G8" t="s">
        <v>89</v>
      </c>
      <c r="I8">
        <v>3</v>
      </c>
      <c r="J8" s="21">
        <v>95.1</v>
      </c>
      <c r="K8" s="21">
        <v>102.3</v>
      </c>
      <c r="L8" s="21" t="s">
        <v>89</v>
      </c>
      <c r="M8" s="21" t="s">
        <v>89</v>
      </c>
    </row>
    <row r="9" spans="2:13" x14ac:dyDescent="0.25">
      <c r="B9">
        <v>4</v>
      </c>
      <c r="C9">
        <v>3</v>
      </c>
      <c r="D9">
        <v>0.55689999999999995</v>
      </c>
      <c r="E9">
        <v>0.54159999999999997</v>
      </c>
      <c r="F9">
        <v>5.0275999999999996</v>
      </c>
      <c r="G9" t="s">
        <v>89</v>
      </c>
      <c r="I9">
        <v>4</v>
      </c>
      <c r="J9" s="21">
        <v>109</v>
      </c>
      <c r="K9" s="21">
        <v>95.5</v>
      </c>
      <c r="L9" s="21">
        <v>96.5</v>
      </c>
      <c r="M9" s="21" t="s">
        <v>89</v>
      </c>
    </row>
    <row r="10" spans="2:13" x14ac:dyDescent="0.25">
      <c r="B10">
        <v>5</v>
      </c>
      <c r="C10">
        <v>1</v>
      </c>
      <c r="D10">
        <v>3.3944999999999999</v>
      </c>
      <c r="E10" t="s">
        <v>89</v>
      </c>
      <c r="F10" t="s">
        <v>89</v>
      </c>
      <c r="G10" t="s">
        <v>89</v>
      </c>
      <c r="I10">
        <v>5</v>
      </c>
      <c r="J10" s="21">
        <v>101.1</v>
      </c>
      <c r="K10" s="21"/>
      <c r="L10" s="21"/>
      <c r="M10" s="21"/>
    </row>
    <row r="12" spans="2:13" x14ac:dyDescent="0.25">
      <c r="D12" t="s">
        <v>110</v>
      </c>
    </row>
    <row r="13" spans="2:13" x14ac:dyDescent="0.25">
      <c r="B13" t="s">
        <v>41</v>
      </c>
      <c r="C13" t="s">
        <v>184</v>
      </c>
      <c r="D13">
        <v>1</v>
      </c>
      <c r="E13">
        <v>2</v>
      </c>
      <c r="F13">
        <v>3</v>
      </c>
      <c r="G13">
        <v>4</v>
      </c>
    </row>
    <row r="14" spans="2:13" x14ac:dyDescent="0.25">
      <c r="B14">
        <v>1</v>
      </c>
      <c r="C14">
        <v>1</v>
      </c>
      <c r="D14">
        <f>SUM($D6:D6)</f>
        <v>1.2496</v>
      </c>
      <c r="E14">
        <f>SUM($D6:E6)</f>
        <v>1.2496</v>
      </c>
      <c r="F14">
        <f>SUM($D6:F6)</f>
        <v>1.2496</v>
      </c>
      <c r="G14">
        <f>SUM($D6:G6)</f>
        <v>1.2496</v>
      </c>
    </row>
    <row r="15" spans="2:13" x14ac:dyDescent="0.25">
      <c r="B15">
        <v>2</v>
      </c>
      <c r="C15">
        <v>0</v>
      </c>
      <c r="D15">
        <f>SUM($D7:D7)</f>
        <v>0</v>
      </c>
      <c r="E15">
        <f>SUM($D7:E7)</f>
        <v>0</v>
      </c>
      <c r="F15">
        <f>SUM($D7:F7)</f>
        <v>0</v>
      </c>
      <c r="G15">
        <f>SUM($D7:G7)</f>
        <v>0</v>
      </c>
    </row>
    <row r="16" spans="2:13" x14ac:dyDescent="0.25">
      <c r="B16">
        <v>3</v>
      </c>
      <c r="C16">
        <v>2</v>
      </c>
      <c r="D16">
        <f>SUM($D8:D8)</f>
        <v>0.4032</v>
      </c>
      <c r="E16">
        <f>SUM($D8:E8)</f>
        <v>1.4922</v>
      </c>
      <c r="F16">
        <f>SUM($D8:F8)</f>
        <v>1.4922</v>
      </c>
      <c r="G16">
        <f>SUM($D8:G8)</f>
        <v>1.4922</v>
      </c>
    </row>
    <row r="17" spans="2:18" x14ac:dyDescent="0.25">
      <c r="B17">
        <v>4</v>
      </c>
      <c r="C17">
        <v>3</v>
      </c>
      <c r="D17">
        <f>SUM($D9:D9)</f>
        <v>0.55689999999999995</v>
      </c>
      <c r="E17">
        <f>SUM($D9:E9)</f>
        <v>1.0985</v>
      </c>
      <c r="F17">
        <f>SUM($D9:F9)</f>
        <v>6.1260999999999992</v>
      </c>
      <c r="G17">
        <f>SUM($D9:G9)</f>
        <v>6.1260999999999992</v>
      </c>
    </row>
    <row r="18" spans="2:18" x14ac:dyDescent="0.25">
      <c r="B18">
        <v>5</v>
      </c>
      <c r="C18">
        <v>1</v>
      </c>
      <c r="D18">
        <f>SUM($D10:D10)</f>
        <v>3.3944999999999999</v>
      </c>
      <c r="E18">
        <f>SUM($D10:E10)</f>
        <v>3.3944999999999999</v>
      </c>
      <c r="F18">
        <f>SUM($D10:F10)</f>
        <v>3.3944999999999999</v>
      </c>
      <c r="G18">
        <f>SUM($D10:G10)</f>
        <v>3.3944999999999999</v>
      </c>
    </row>
    <row r="21" spans="2:18" x14ac:dyDescent="0.25">
      <c r="B21" t="s">
        <v>111</v>
      </c>
    </row>
    <row r="22" spans="2:18" x14ac:dyDescent="0.25">
      <c r="C22">
        <v>0</v>
      </c>
      <c r="D22">
        <v>1</v>
      </c>
      <c r="E22">
        <v>2</v>
      </c>
      <c r="F22">
        <v>3</v>
      </c>
      <c r="G22">
        <v>4</v>
      </c>
      <c r="H22">
        <v>5</v>
      </c>
      <c r="I22">
        <v>6</v>
      </c>
      <c r="J22">
        <v>7</v>
      </c>
      <c r="K22">
        <v>8</v>
      </c>
      <c r="L22">
        <v>9</v>
      </c>
      <c r="M22">
        <v>10</v>
      </c>
      <c r="N22">
        <v>11</v>
      </c>
      <c r="O22">
        <v>12</v>
      </c>
    </row>
    <row r="23" spans="2:18" x14ac:dyDescent="0.25">
      <c r="B23" t="s">
        <v>41</v>
      </c>
      <c r="C23" t="s">
        <v>112</v>
      </c>
      <c r="D23" t="s">
        <v>113</v>
      </c>
      <c r="E23" t="s">
        <v>114</v>
      </c>
      <c r="F23" t="s">
        <v>115</v>
      </c>
      <c r="G23" t="s">
        <v>116</v>
      </c>
      <c r="H23" t="s">
        <v>117</v>
      </c>
      <c r="I23" t="s">
        <v>118</v>
      </c>
      <c r="J23" t="s">
        <v>119</v>
      </c>
      <c r="K23" t="s">
        <v>120</v>
      </c>
      <c r="L23" t="s">
        <v>121</v>
      </c>
      <c r="M23" t="s">
        <v>122</v>
      </c>
      <c r="N23" t="s">
        <v>123</v>
      </c>
      <c r="O23" t="s">
        <v>124</v>
      </c>
      <c r="Q23" s="24"/>
    </row>
    <row r="24" spans="2:18" x14ac:dyDescent="0.25">
      <c r="B24">
        <v>1</v>
      </c>
      <c r="C24">
        <v>0</v>
      </c>
      <c r="D24">
        <f t="shared" ref="D24:O28" si="0">IF(ISERROR(MATCH(D$22,$D14:$G14)),0,SUMIF($D14:$G14,"&lt;"&amp;D$22,$J6:$M6))</f>
        <v>0</v>
      </c>
      <c r="E24">
        <f t="shared" si="0"/>
        <v>106.3</v>
      </c>
      <c r="F24">
        <f t="shared" si="0"/>
        <v>106.3</v>
      </c>
      <c r="G24">
        <f t="shared" si="0"/>
        <v>106.3</v>
      </c>
      <c r="H24">
        <f t="shared" si="0"/>
        <v>106.3</v>
      </c>
      <c r="I24">
        <f t="shared" si="0"/>
        <v>106.3</v>
      </c>
      <c r="J24">
        <f t="shared" si="0"/>
        <v>106.3</v>
      </c>
      <c r="K24">
        <f t="shared" si="0"/>
        <v>106.3</v>
      </c>
      <c r="L24">
        <f t="shared" si="0"/>
        <v>106.3</v>
      </c>
      <c r="M24">
        <f t="shared" si="0"/>
        <v>106.3</v>
      </c>
      <c r="N24">
        <f t="shared" si="0"/>
        <v>106.3</v>
      </c>
      <c r="O24">
        <f t="shared" si="0"/>
        <v>106.3</v>
      </c>
      <c r="Q24" s="25" t="s">
        <v>0</v>
      </c>
      <c r="R24" t="s">
        <v>125</v>
      </c>
    </row>
    <row r="25" spans="2:18" x14ac:dyDescent="0.25">
      <c r="B25">
        <v>2</v>
      </c>
      <c r="C25">
        <v>0</v>
      </c>
      <c r="D25">
        <f t="shared" si="0"/>
        <v>0</v>
      </c>
      <c r="E25">
        <f t="shared" si="0"/>
        <v>0</v>
      </c>
      <c r="F25">
        <f t="shared" si="0"/>
        <v>0</v>
      </c>
      <c r="G25">
        <f t="shared" si="0"/>
        <v>0</v>
      </c>
      <c r="H25">
        <f t="shared" si="0"/>
        <v>0</v>
      </c>
      <c r="I25">
        <f t="shared" si="0"/>
        <v>0</v>
      </c>
      <c r="J25">
        <f t="shared" si="0"/>
        <v>0</v>
      </c>
      <c r="K25">
        <f t="shared" si="0"/>
        <v>0</v>
      </c>
      <c r="L25">
        <f t="shared" si="0"/>
        <v>0</v>
      </c>
      <c r="M25">
        <f t="shared" si="0"/>
        <v>0</v>
      </c>
      <c r="N25">
        <f t="shared" si="0"/>
        <v>0</v>
      </c>
      <c r="O25">
        <f t="shared" si="0"/>
        <v>0</v>
      </c>
      <c r="Q25" s="25" t="s">
        <v>0</v>
      </c>
      <c r="R25" t="s">
        <v>126</v>
      </c>
    </row>
    <row r="26" spans="2:18" x14ac:dyDescent="0.25">
      <c r="B26">
        <v>3</v>
      </c>
      <c r="C26">
        <v>0</v>
      </c>
      <c r="D26">
        <f t="shared" si="0"/>
        <v>95.1</v>
      </c>
      <c r="E26">
        <f t="shared" si="0"/>
        <v>197.39999999999998</v>
      </c>
      <c r="F26">
        <f t="shared" si="0"/>
        <v>197.39999999999998</v>
      </c>
      <c r="G26">
        <f t="shared" si="0"/>
        <v>197.39999999999998</v>
      </c>
      <c r="H26">
        <f t="shared" si="0"/>
        <v>197.39999999999998</v>
      </c>
      <c r="I26">
        <f t="shared" si="0"/>
        <v>197.39999999999998</v>
      </c>
      <c r="J26">
        <f t="shared" si="0"/>
        <v>197.39999999999998</v>
      </c>
      <c r="K26">
        <f t="shared" si="0"/>
        <v>197.39999999999998</v>
      </c>
      <c r="L26">
        <f t="shared" si="0"/>
        <v>197.39999999999998</v>
      </c>
      <c r="M26">
        <f t="shared" si="0"/>
        <v>197.39999999999998</v>
      </c>
      <c r="N26">
        <f t="shared" si="0"/>
        <v>197.39999999999998</v>
      </c>
      <c r="O26">
        <f t="shared" si="0"/>
        <v>197.39999999999998</v>
      </c>
      <c r="Q26" s="25" t="s">
        <v>1</v>
      </c>
      <c r="R26" t="s">
        <v>127</v>
      </c>
    </row>
    <row r="27" spans="2:18" x14ac:dyDescent="0.25">
      <c r="B27">
        <v>4</v>
      </c>
      <c r="C27">
        <v>0</v>
      </c>
      <c r="D27">
        <f t="shared" si="0"/>
        <v>109</v>
      </c>
      <c r="E27">
        <f t="shared" si="0"/>
        <v>204.5</v>
      </c>
      <c r="F27">
        <f t="shared" si="0"/>
        <v>204.5</v>
      </c>
      <c r="G27">
        <f t="shared" si="0"/>
        <v>204.5</v>
      </c>
      <c r="H27">
        <f t="shared" si="0"/>
        <v>204.5</v>
      </c>
      <c r="I27">
        <f t="shared" si="0"/>
        <v>204.5</v>
      </c>
      <c r="J27">
        <f t="shared" si="0"/>
        <v>301</v>
      </c>
      <c r="K27">
        <f t="shared" si="0"/>
        <v>301</v>
      </c>
      <c r="L27">
        <f t="shared" si="0"/>
        <v>301</v>
      </c>
      <c r="M27">
        <f t="shared" si="0"/>
        <v>301</v>
      </c>
      <c r="N27">
        <f t="shared" si="0"/>
        <v>301</v>
      </c>
      <c r="O27">
        <f t="shared" si="0"/>
        <v>301</v>
      </c>
    </row>
    <row r="28" spans="2:18" x14ac:dyDescent="0.25">
      <c r="B28">
        <v>5</v>
      </c>
      <c r="C28">
        <v>0</v>
      </c>
      <c r="D28">
        <f t="shared" si="0"/>
        <v>0</v>
      </c>
      <c r="E28">
        <f t="shared" si="0"/>
        <v>0</v>
      </c>
      <c r="F28">
        <f t="shared" si="0"/>
        <v>0</v>
      </c>
      <c r="G28">
        <f t="shared" si="0"/>
        <v>101.1</v>
      </c>
      <c r="H28">
        <f t="shared" si="0"/>
        <v>101.1</v>
      </c>
      <c r="I28">
        <f t="shared" si="0"/>
        <v>101.1</v>
      </c>
      <c r="J28">
        <f t="shared" si="0"/>
        <v>101.1</v>
      </c>
      <c r="K28">
        <f t="shared" si="0"/>
        <v>101.1</v>
      </c>
      <c r="L28">
        <f t="shared" si="0"/>
        <v>101.1</v>
      </c>
      <c r="M28">
        <f t="shared" si="0"/>
        <v>101.1</v>
      </c>
      <c r="N28">
        <f t="shared" si="0"/>
        <v>101.1</v>
      </c>
      <c r="O28">
        <f t="shared" si="0"/>
        <v>101.1</v>
      </c>
    </row>
    <row r="30" spans="2:18" x14ac:dyDescent="0.25">
      <c r="B30" t="s">
        <v>128</v>
      </c>
    </row>
    <row r="31" spans="2:18" x14ac:dyDescent="0.25">
      <c r="C31">
        <v>0</v>
      </c>
      <c r="D31">
        <v>1</v>
      </c>
      <c r="E31">
        <v>2</v>
      </c>
      <c r="F31">
        <v>3</v>
      </c>
      <c r="G31">
        <v>4</v>
      </c>
      <c r="H31">
        <v>5</v>
      </c>
      <c r="I31">
        <v>6</v>
      </c>
      <c r="J31">
        <v>7</v>
      </c>
      <c r="K31">
        <v>8</v>
      </c>
      <c r="L31">
        <v>9</v>
      </c>
      <c r="M31">
        <v>10</v>
      </c>
      <c r="N31">
        <v>11</v>
      </c>
      <c r="O31">
        <v>12</v>
      </c>
    </row>
    <row r="32" spans="2:18" x14ac:dyDescent="0.25">
      <c r="B32" t="s">
        <v>41</v>
      </c>
      <c r="C32" t="s">
        <v>76</v>
      </c>
      <c r="D32" t="s">
        <v>77</v>
      </c>
      <c r="E32" t="s">
        <v>78</v>
      </c>
      <c r="F32" t="s">
        <v>79</v>
      </c>
      <c r="G32" t="s">
        <v>80</v>
      </c>
      <c r="H32" t="s">
        <v>81</v>
      </c>
      <c r="I32" t="s">
        <v>82</v>
      </c>
      <c r="J32" t="s">
        <v>83</v>
      </c>
      <c r="K32" t="s">
        <v>84</v>
      </c>
      <c r="L32" t="s">
        <v>85</v>
      </c>
      <c r="M32" t="s">
        <v>86</v>
      </c>
      <c r="N32" t="s">
        <v>87</v>
      </c>
      <c r="O32" t="s">
        <v>88</v>
      </c>
    </row>
    <row r="33" spans="2:18" x14ac:dyDescent="0.25">
      <c r="B33">
        <v>1</v>
      </c>
      <c r="C33" s="6">
        <f>$C$2</f>
        <v>200</v>
      </c>
      <c r="D33" s="13">
        <f>C33+$C$3-(D24-C24)</f>
        <v>210</v>
      </c>
      <c r="E33" s="13">
        <f>D33+$C$3-(E24-D24)</f>
        <v>113.7</v>
      </c>
      <c r="F33" s="13">
        <f t="shared" ref="F33:O33" si="1">E33+$C$3-(F24-E24)</f>
        <v>123.7</v>
      </c>
      <c r="G33" s="13">
        <f t="shared" si="1"/>
        <v>133.69999999999999</v>
      </c>
      <c r="H33" s="13">
        <f t="shared" si="1"/>
        <v>143.69999999999999</v>
      </c>
      <c r="I33" s="13">
        <f t="shared" si="1"/>
        <v>153.69999999999999</v>
      </c>
      <c r="J33" s="13">
        <f t="shared" si="1"/>
        <v>163.69999999999999</v>
      </c>
      <c r="K33" s="13">
        <f t="shared" si="1"/>
        <v>173.7</v>
      </c>
      <c r="L33" s="13">
        <f t="shared" si="1"/>
        <v>183.7</v>
      </c>
      <c r="M33" s="13">
        <f t="shared" si="1"/>
        <v>193.7</v>
      </c>
      <c r="N33" s="13">
        <f t="shared" si="1"/>
        <v>203.7</v>
      </c>
      <c r="O33" s="13">
        <f t="shared" si="1"/>
        <v>213.7</v>
      </c>
      <c r="Q33" s="25" t="s">
        <v>0</v>
      </c>
      <c r="R33" t="s">
        <v>129</v>
      </c>
    </row>
    <row r="34" spans="2:18" x14ac:dyDescent="0.25">
      <c r="B34">
        <v>2</v>
      </c>
      <c r="C34" s="6">
        <f t="shared" ref="C34:C37" si="2">$C$2</f>
        <v>200</v>
      </c>
      <c r="D34" s="13">
        <f t="shared" ref="D34:O37" si="3">C34+$C$3-(D25-C25)</f>
        <v>210</v>
      </c>
      <c r="E34" s="13">
        <f t="shared" si="3"/>
        <v>220</v>
      </c>
      <c r="F34" s="13">
        <f t="shared" si="3"/>
        <v>230</v>
      </c>
      <c r="G34" s="13">
        <f t="shared" si="3"/>
        <v>240</v>
      </c>
      <c r="H34" s="13">
        <f t="shared" si="3"/>
        <v>250</v>
      </c>
      <c r="I34" s="13">
        <f t="shared" si="3"/>
        <v>260</v>
      </c>
      <c r="J34" s="13">
        <f t="shared" si="3"/>
        <v>270</v>
      </c>
      <c r="K34" s="13">
        <f t="shared" si="3"/>
        <v>280</v>
      </c>
      <c r="L34" s="13">
        <f t="shared" si="3"/>
        <v>290</v>
      </c>
      <c r="M34" s="13">
        <f t="shared" si="3"/>
        <v>300</v>
      </c>
      <c r="N34" s="13">
        <f t="shared" si="3"/>
        <v>310</v>
      </c>
      <c r="O34" s="13">
        <f t="shared" si="3"/>
        <v>320</v>
      </c>
      <c r="Q34" s="25" t="s">
        <v>1</v>
      </c>
      <c r="R34" t="s">
        <v>130</v>
      </c>
    </row>
    <row r="35" spans="2:18" x14ac:dyDescent="0.25">
      <c r="B35">
        <v>3</v>
      </c>
      <c r="C35" s="6">
        <f t="shared" si="2"/>
        <v>200</v>
      </c>
      <c r="D35" s="13">
        <f t="shared" si="3"/>
        <v>114.9</v>
      </c>
      <c r="E35" s="13">
        <f t="shared" si="3"/>
        <v>22.600000000000023</v>
      </c>
      <c r="F35" s="13">
        <f t="shared" si="3"/>
        <v>32.600000000000023</v>
      </c>
      <c r="G35" s="13">
        <f t="shared" si="3"/>
        <v>42.600000000000023</v>
      </c>
      <c r="H35" s="13">
        <f t="shared" si="3"/>
        <v>52.600000000000023</v>
      </c>
      <c r="I35" s="13">
        <f t="shared" si="3"/>
        <v>62.600000000000023</v>
      </c>
      <c r="J35" s="13">
        <f t="shared" si="3"/>
        <v>72.600000000000023</v>
      </c>
      <c r="K35" s="13">
        <f t="shared" si="3"/>
        <v>82.600000000000023</v>
      </c>
      <c r="L35" s="13">
        <f t="shared" si="3"/>
        <v>92.600000000000023</v>
      </c>
      <c r="M35" s="13">
        <f t="shared" si="3"/>
        <v>102.60000000000002</v>
      </c>
      <c r="N35" s="13">
        <f t="shared" si="3"/>
        <v>112.60000000000002</v>
      </c>
      <c r="O35" s="13">
        <f t="shared" si="3"/>
        <v>122.60000000000002</v>
      </c>
      <c r="Q35" s="25" t="s">
        <v>1</v>
      </c>
      <c r="R35" t="s">
        <v>131</v>
      </c>
    </row>
    <row r="36" spans="2:18" x14ac:dyDescent="0.25">
      <c r="B36">
        <v>4</v>
      </c>
      <c r="C36" s="6">
        <f t="shared" si="2"/>
        <v>200</v>
      </c>
      <c r="D36" s="13">
        <f t="shared" si="3"/>
        <v>101</v>
      </c>
      <c r="E36" s="13">
        <f t="shared" si="3"/>
        <v>15.5</v>
      </c>
      <c r="F36" s="13">
        <f t="shared" si="3"/>
        <v>25.5</v>
      </c>
      <c r="G36" s="13">
        <f t="shared" si="3"/>
        <v>35.5</v>
      </c>
      <c r="H36" s="13">
        <f t="shared" si="3"/>
        <v>45.5</v>
      </c>
      <c r="I36" s="13">
        <f t="shared" si="3"/>
        <v>55.5</v>
      </c>
      <c r="J36" s="13">
        <f t="shared" si="3"/>
        <v>-31</v>
      </c>
      <c r="K36" s="13">
        <f t="shared" si="3"/>
        <v>-21</v>
      </c>
      <c r="L36" s="13">
        <f t="shared" si="3"/>
        <v>-11</v>
      </c>
      <c r="M36" s="13">
        <f t="shared" si="3"/>
        <v>-1</v>
      </c>
      <c r="N36" s="13">
        <f t="shared" si="3"/>
        <v>9</v>
      </c>
      <c r="O36" s="13">
        <f t="shared" si="3"/>
        <v>19</v>
      </c>
    </row>
    <row r="37" spans="2:18" x14ac:dyDescent="0.25">
      <c r="B37">
        <v>5</v>
      </c>
      <c r="C37" s="6">
        <f t="shared" si="2"/>
        <v>200</v>
      </c>
      <c r="D37" s="13">
        <f t="shared" si="3"/>
        <v>210</v>
      </c>
      <c r="E37" s="13">
        <f t="shared" si="3"/>
        <v>220</v>
      </c>
      <c r="F37" s="13">
        <f t="shared" si="3"/>
        <v>230</v>
      </c>
      <c r="G37" s="13">
        <f t="shared" si="3"/>
        <v>138.9</v>
      </c>
      <c r="H37" s="13">
        <f t="shared" si="3"/>
        <v>148.9</v>
      </c>
      <c r="I37" s="13">
        <f t="shared" si="3"/>
        <v>158.9</v>
      </c>
      <c r="J37" s="13">
        <f t="shared" si="3"/>
        <v>168.9</v>
      </c>
      <c r="K37" s="13">
        <f t="shared" si="3"/>
        <v>178.9</v>
      </c>
      <c r="L37" s="13">
        <f t="shared" si="3"/>
        <v>188.9</v>
      </c>
      <c r="M37" s="13">
        <f t="shared" si="3"/>
        <v>198.9</v>
      </c>
      <c r="N37" s="13">
        <f t="shared" si="3"/>
        <v>208.9</v>
      </c>
      <c r="O37" s="13">
        <f t="shared" si="3"/>
        <v>218.9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2C292-08C7-45C9-BA68-C07BA5CCBDC3}">
  <sheetPr>
    <tabColor theme="4" tint="0.79998168889431442"/>
  </sheetPr>
  <dimension ref="B2:G102"/>
  <sheetViews>
    <sheetView zoomScaleNormal="100" workbookViewId="0"/>
  </sheetViews>
  <sheetFormatPr defaultRowHeight="15" x14ac:dyDescent="0.25"/>
  <cols>
    <col min="2" max="2" width="11.28515625" bestFit="1" customWidth="1"/>
    <col min="5" max="5" width="28.28515625" bestFit="1" customWidth="1"/>
  </cols>
  <sheetData>
    <row r="2" spans="2:7" x14ac:dyDescent="0.25">
      <c r="B2" t="s">
        <v>41</v>
      </c>
      <c r="C2" t="s">
        <v>132</v>
      </c>
    </row>
    <row r="3" spans="2:7" x14ac:dyDescent="0.25">
      <c r="B3">
        <v>1</v>
      </c>
      <c r="C3" t="str">
        <f>IF(MIN('1v'!C33:O33)&lt;=0,"Yes","No")</f>
        <v>No</v>
      </c>
      <c r="E3" t="s">
        <v>133</v>
      </c>
      <c r="F3" s="6">
        <f>COUNTIF($C$3:$C$102,"Yes")</f>
        <v>2</v>
      </c>
      <c r="G3" s="25" t="s">
        <v>0</v>
      </c>
    </row>
    <row r="4" spans="2:7" x14ac:dyDescent="0.25">
      <c r="B4">
        <v>2</v>
      </c>
      <c r="C4" t="str">
        <f>IF(MIN('1v'!C34:O34)&lt;=0,"Yes","No")</f>
        <v>No</v>
      </c>
      <c r="E4" t="s">
        <v>134</v>
      </c>
      <c r="F4" s="27">
        <f>F3/100</f>
        <v>0.02</v>
      </c>
      <c r="G4" s="25" t="s">
        <v>0</v>
      </c>
    </row>
    <row r="5" spans="2:7" x14ac:dyDescent="0.25">
      <c r="B5">
        <v>3</v>
      </c>
      <c r="C5" t="str">
        <f>IF(MIN('1v'!C35:O35)&lt;=0,"Yes","No")</f>
        <v>No</v>
      </c>
    </row>
    <row r="6" spans="2:7" x14ac:dyDescent="0.25">
      <c r="B6">
        <v>4</v>
      </c>
      <c r="C6" t="str">
        <f>IF(MIN('1v'!C36:O36)&lt;=0,"Yes","No")</f>
        <v>Yes</v>
      </c>
    </row>
    <row r="7" spans="2:7" x14ac:dyDescent="0.25">
      <c r="B7">
        <v>5</v>
      </c>
      <c r="C7" t="str">
        <f>IF(MIN('1v'!C37:O37)&lt;=0,"Yes","No")</f>
        <v>No</v>
      </c>
    </row>
    <row r="8" spans="2:7" x14ac:dyDescent="0.25">
      <c r="B8">
        <v>6</v>
      </c>
      <c r="C8" t="str">
        <f>IF(MIN('Q1 Data'!R19:AD19)&lt;=0,"Yes","No")</f>
        <v>No</v>
      </c>
    </row>
    <row r="9" spans="2:7" x14ac:dyDescent="0.25">
      <c r="B9">
        <v>7</v>
      </c>
      <c r="C9" t="str">
        <f>IF(MIN('Q1 Data'!R20:AD20)&lt;=0,"Yes","No")</f>
        <v>No</v>
      </c>
    </row>
    <row r="10" spans="2:7" x14ac:dyDescent="0.25">
      <c r="B10">
        <v>8</v>
      </c>
      <c r="C10" t="str">
        <f>IF(MIN('Q1 Data'!R21:AD21)&lt;=0,"Yes","No")</f>
        <v>No</v>
      </c>
    </row>
    <row r="11" spans="2:7" x14ac:dyDescent="0.25">
      <c r="B11">
        <v>9</v>
      </c>
      <c r="C11" t="str">
        <f>IF(MIN('Q1 Data'!R22:AD22)&lt;=0,"Yes","No")</f>
        <v>No</v>
      </c>
    </row>
    <row r="12" spans="2:7" x14ac:dyDescent="0.25">
      <c r="B12">
        <v>10</v>
      </c>
      <c r="C12" t="str">
        <f>IF(MIN('Q1 Data'!R23:AD23)&lt;=0,"Yes","No")</f>
        <v>No</v>
      </c>
    </row>
    <row r="13" spans="2:7" x14ac:dyDescent="0.25">
      <c r="B13">
        <v>11</v>
      </c>
      <c r="C13" t="str">
        <f>IF(MIN('Q1 Data'!R24:AD24)&lt;=0,"Yes","No")</f>
        <v>No</v>
      </c>
    </row>
    <row r="14" spans="2:7" x14ac:dyDescent="0.25">
      <c r="B14">
        <v>12</v>
      </c>
      <c r="C14" t="str">
        <f>IF(MIN('Q1 Data'!R25:AD25)&lt;=0,"Yes","No")</f>
        <v>No</v>
      </c>
    </row>
    <row r="15" spans="2:7" x14ac:dyDescent="0.25">
      <c r="B15">
        <v>13</v>
      </c>
      <c r="C15" t="str">
        <f>IF(MIN('Q1 Data'!R26:AD26)&lt;=0,"Yes","No")</f>
        <v>No</v>
      </c>
    </row>
    <row r="16" spans="2:7" x14ac:dyDescent="0.25">
      <c r="B16">
        <v>14</v>
      </c>
      <c r="C16" t="str">
        <f>IF(MIN('Q1 Data'!R27:AD27)&lt;=0,"Yes","No")</f>
        <v>No</v>
      </c>
    </row>
    <row r="17" spans="2:3" x14ac:dyDescent="0.25">
      <c r="B17">
        <v>15</v>
      </c>
      <c r="C17" t="str">
        <f>IF(MIN('Q1 Data'!R28:AD28)&lt;=0,"Yes","No")</f>
        <v>No</v>
      </c>
    </row>
    <row r="18" spans="2:3" x14ac:dyDescent="0.25">
      <c r="B18">
        <v>16</v>
      </c>
      <c r="C18" t="str">
        <f>IF(MIN('Q1 Data'!R29:AD29)&lt;=0,"Yes","No")</f>
        <v>No</v>
      </c>
    </row>
    <row r="19" spans="2:3" x14ac:dyDescent="0.25">
      <c r="B19">
        <v>17</v>
      </c>
      <c r="C19" t="str">
        <f>IF(MIN('Q1 Data'!R30:AD30)&lt;=0,"Yes","No")</f>
        <v>No</v>
      </c>
    </row>
    <row r="20" spans="2:3" x14ac:dyDescent="0.25">
      <c r="B20">
        <v>18</v>
      </c>
      <c r="C20" t="str">
        <f>IF(MIN('Q1 Data'!R31:AD31)&lt;=0,"Yes","No")</f>
        <v>No</v>
      </c>
    </row>
    <row r="21" spans="2:3" x14ac:dyDescent="0.25">
      <c r="B21">
        <v>19</v>
      </c>
      <c r="C21" t="str">
        <f>IF(MIN('Q1 Data'!R32:AD32)&lt;=0,"Yes","No")</f>
        <v>No</v>
      </c>
    </row>
    <row r="22" spans="2:3" x14ac:dyDescent="0.25">
      <c r="B22">
        <v>20</v>
      </c>
      <c r="C22" t="str">
        <f>IF(MIN('Q1 Data'!R33:AD33)&lt;=0,"Yes","No")</f>
        <v>No</v>
      </c>
    </row>
    <row r="23" spans="2:3" x14ac:dyDescent="0.25">
      <c r="B23">
        <v>21</v>
      </c>
      <c r="C23" t="str">
        <f>IF(MIN('Q1 Data'!R34:AD34)&lt;=0,"Yes","No")</f>
        <v>No</v>
      </c>
    </row>
    <row r="24" spans="2:3" x14ac:dyDescent="0.25">
      <c r="B24">
        <v>22</v>
      </c>
      <c r="C24" t="str">
        <f>IF(MIN('Q1 Data'!R35:AD35)&lt;=0,"Yes","No")</f>
        <v>No</v>
      </c>
    </row>
    <row r="25" spans="2:3" x14ac:dyDescent="0.25">
      <c r="B25">
        <v>23</v>
      </c>
      <c r="C25" t="str">
        <f>IF(MIN('Q1 Data'!R36:AD36)&lt;=0,"Yes","No")</f>
        <v>No</v>
      </c>
    </row>
    <row r="26" spans="2:3" x14ac:dyDescent="0.25">
      <c r="B26">
        <v>24</v>
      </c>
      <c r="C26" t="str">
        <f>IF(MIN('Q1 Data'!R37:AD37)&lt;=0,"Yes","No")</f>
        <v>No</v>
      </c>
    </row>
    <row r="27" spans="2:3" x14ac:dyDescent="0.25">
      <c r="B27">
        <v>25</v>
      </c>
      <c r="C27" t="str">
        <f>IF(MIN('Q1 Data'!R38:AD38)&lt;=0,"Yes","No")</f>
        <v>No</v>
      </c>
    </row>
    <row r="28" spans="2:3" x14ac:dyDescent="0.25">
      <c r="B28">
        <v>26</v>
      </c>
      <c r="C28" t="str">
        <f>IF(MIN('Q1 Data'!R39:AD39)&lt;=0,"Yes","No")</f>
        <v>No</v>
      </c>
    </row>
    <row r="29" spans="2:3" x14ac:dyDescent="0.25">
      <c r="B29">
        <v>27</v>
      </c>
      <c r="C29" t="str">
        <f>IF(MIN('Q1 Data'!R40:AD40)&lt;=0,"Yes","No")</f>
        <v>No</v>
      </c>
    </row>
    <row r="30" spans="2:3" x14ac:dyDescent="0.25">
      <c r="B30">
        <v>28</v>
      </c>
      <c r="C30" t="str">
        <f>IF(MIN('Q1 Data'!R41:AD41)&lt;=0,"Yes","No")</f>
        <v>No</v>
      </c>
    </row>
    <row r="31" spans="2:3" x14ac:dyDescent="0.25">
      <c r="B31">
        <v>29</v>
      </c>
      <c r="C31" t="str">
        <f>IF(MIN('Q1 Data'!R42:AD42)&lt;=0,"Yes","No")</f>
        <v>No</v>
      </c>
    </row>
    <row r="32" spans="2:3" x14ac:dyDescent="0.25">
      <c r="B32">
        <v>30</v>
      </c>
      <c r="C32" t="str">
        <f>IF(MIN('Q1 Data'!R43:AD43)&lt;=0,"Yes","No")</f>
        <v>No</v>
      </c>
    </row>
    <row r="33" spans="2:3" x14ac:dyDescent="0.25">
      <c r="B33">
        <v>31</v>
      </c>
      <c r="C33" t="str">
        <f>IF(MIN('Q1 Data'!R44:AD44)&lt;=0,"Yes","No")</f>
        <v>No</v>
      </c>
    </row>
    <row r="34" spans="2:3" x14ac:dyDescent="0.25">
      <c r="B34">
        <v>32</v>
      </c>
      <c r="C34" t="str">
        <f>IF(MIN('Q1 Data'!R45:AD45)&lt;=0,"Yes","No")</f>
        <v>No</v>
      </c>
    </row>
    <row r="35" spans="2:3" x14ac:dyDescent="0.25">
      <c r="B35">
        <v>33</v>
      </c>
      <c r="C35" t="str">
        <f>IF(MIN('Q1 Data'!R46:AD46)&lt;=0,"Yes","No")</f>
        <v>No</v>
      </c>
    </row>
    <row r="36" spans="2:3" x14ac:dyDescent="0.25">
      <c r="B36">
        <v>34</v>
      </c>
      <c r="C36" t="str">
        <f>IF(MIN('Q1 Data'!R47:AD47)&lt;=0,"Yes","No")</f>
        <v>No</v>
      </c>
    </row>
    <row r="37" spans="2:3" x14ac:dyDescent="0.25">
      <c r="B37">
        <v>35</v>
      </c>
      <c r="C37" t="str">
        <f>IF(MIN('Q1 Data'!R48:AD48)&lt;=0,"Yes","No")</f>
        <v>No</v>
      </c>
    </row>
    <row r="38" spans="2:3" x14ac:dyDescent="0.25">
      <c r="B38">
        <v>36</v>
      </c>
      <c r="C38" t="str">
        <f>IF(MIN('Q1 Data'!R49:AD49)&lt;=0,"Yes","No")</f>
        <v>No</v>
      </c>
    </row>
    <row r="39" spans="2:3" x14ac:dyDescent="0.25">
      <c r="B39">
        <v>37</v>
      </c>
      <c r="C39" t="str">
        <f>IF(MIN('Q1 Data'!R50:AD50)&lt;=0,"Yes","No")</f>
        <v>No</v>
      </c>
    </row>
    <row r="40" spans="2:3" x14ac:dyDescent="0.25">
      <c r="B40">
        <v>38</v>
      </c>
      <c r="C40" t="str">
        <f>IF(MIN('Q1 Data'!R51:AD51)&lt;=0,"Yes","No")</f>
        <v>No</v>
      </c>
    </row>
    <row r="41" spans="2:3" x14ac:dyDescent="0.25">
      <c r="B41">
        <v>39</v>
      </c>
      <c r="C41" t="str">
        <f>IF(MIN('Q1 Data'!R52:AD52)&lt;=0,"Yes","No")</f>
        <v>No</v>
      </c>
    </row>
    <row r="42" spans="2:3" x14ac:dyDescent="0.25">
      <c r="B42">
        <v>40</v>
      </c>
      <c r="C42" t="str">
        <f>IF(MIN('Q1 Data'!R53:AD53)&lt;=0,"Yes","No")</f>
        <v>No</v>
      </c>
    </row>
    <row r="43" spans="2:3" x14ac:dyDescent="0.25">
      <c r="B43">
        <v>41</v>
      </c>
      <c r="C43" t="str">
        <f>IF(MIN('Q1 Data'!R54:AD54)&lt;=0,"Yes","No")</f>
        <v>No</v>
      </c>
    </row>
    <row r="44" spans="2:3" x14ac:dyDescent="0.25">
      <c r="B44">
        <v>42</v>
      </c>
      <c r="C44" t="str">
        <f>IF(MIN('Q1 Data'!R55:AD55)&lt;=0,"Yes","No")</f>
        <v>No</v>
      </c>
    </row>
    <row r="45" spans="2:3" x14ac:dyDescent="0.25">
      <c r="B45">
        <v>43</v>
      </c>
      <c r="C45" t="str">
        <f>IF(MIN('Q1 Data'!R56:AD56)&lt;=0,"Yes","No")</f>
        <v>No</v>
      </c>
    </row>
    <row r="46" spans="2:3" x14ac:dyDescent="0.25">
      <c r="B46">
        <v>44</v>
      </c>
      <c r="C46" t="str">
        <f>IF(MIN('Q1 Data'!R57:AD57)&lt;=0,"Yes","No")</f>
        <v>No</v>
      </c>
    </row>
    <row r="47" spans="2:3" x14ac:dyDescent="0.25">
      <c r="B47">
        <v>45</v>
      </c>
      <c r="C47" t="str">
        <f>IF(MIN('Q1 Data'!R58:AD58)&lt;=0,"Yes","No")</f>
        <v>No</v>
      </c>
    </row>
    <row r="48" spans="2:3" x14ac:dyDescent="0.25">
      <c r="B48">
        <v>46</v>
      </c>
      <c r="C48" t="str">
        <f>IF(MIN('Q1 Data'!R59:AD59)&lt;=0,"Yes","No")</f>
        <v>No</v>
      </c>
    </row>
    <row r="49" spans="2:3" x14ac:dyDescent="0.25">
      <c r="B49">
        <v>47</v>
      </c>
      <c r="C49" t="str">
        <f>IF(MIN('Q1 Data'!R60:AD60)&lt;=0,"Yes","No")</f>
        <v>No</v>
      </c>
    </row>
    <row r="50" spans="2:3" x14ac:dyDescent="0.25">
      <c r="B50">
        <v>48</v>
      </c>
      <c r="C50" t="str">
        <f>IF(MIN('Q1 Data'!R61:AD61)&lt;=0,"Yes","No")</f>
        <v>No</v>
      </c>
    </row>
    <row r="51" spans="2:3" x14ac:dyDescent="0.25">
      <c r="B51">
        <v>49</v>
      </c>
      <c r="C51" t="str">
        <f>IF(MIN('Q1 Data'!R62:AD62)&lt;=0,"Yes","No")</f>
        <v>No</v>
      </c>
    </row>
    <row r="52" spans="2:3" x14ac:dyDescent="0.25">
      <c r="B52">
        <v>50</v>
      </c>
      <c r="C52" t="str">
        <f>IF(MIN('Q1 Data'!R63:AD63)&lt;=0,"Yes","No")</f>
        <v>No</v>
      </c>
    </row>
    <row r="53" spans="2:3" x14ac:dyDescent="0.25">
      <c r="B53">
        <v>51</v>
      </c>
      <c r="C53" t="str">
        <f>IF(MIN('Q1 Data'!R64:AD64)&lt;=0,"Yes","No")</f>
        <v>No</v>
      </c>
    </row>
    <row r="54" spans="2:3" x14ac:dyDescent="0.25">
      <c r="B54">
        <v>52</v>
      </c>
      <c r="C54" t="str">
        <f>IF(MIN('Q1 Data'!R65:AD65)&lt;=0,"Yes","No")</f>
        <v>No</v>
      </c>
    </row>
    <row r="55" spans="2:3" x14ac:dyDescent="0.25">
      <c r="B55">
        <v>53</v>
      </c>
      <c r="C55" t="str">
        <f>IF(MIN('Q1 Data'!R66:AD66)&lt;=0,"Yes","No")</f>
        <v>No</v>
      </c>
    </row>
    <row r="56" spans="2:3" x14ac:dyDescent="0.25">
      <c r="B56">
        <v>54</v>
      </c>
      <c r="C56" t="str">
        <f>IF(MIN('Q1 Data'!R67:AD67)&lt;=0,"Yes","No")</f>
        <v>No</v>
      </c>
    </row>
    <row r="57" spans="2:3" x14ac:dyDescent="0.25">
      <c r="B57">
        <v>55</v>
      </c>
      <c r="C57" t="str">
        <f>IF(MIN('Q1 Data'!R68:AD68)&lt;=0,"Yes","No")</f>
        <v>No</v>
      </c>
    </row>
    <row r="58" spans="2:3" x14ac:dyDescent="0.25">
      <c r="B58">
        <v>56</v>
      </c>
      <c r="C58" t="str">
        <f>IF(MIN('Q1 Data'!R69:AD69)&lt;=0,"Yes","No")</f>
        <v>No</v>
      </c>
    </row>
    <row r="59" spans="2:3" x14ac:dyDescent="0.25">
      <c r="B59">
        <v>57</v>
      </c>
      <c r="C59" t="str">
        <f>IF(MIN('Q1 Data'!R70:AD70)&lt;=0,"Yes","No")</f>
        <v>No</v>
      </c>
    </row>
    <row r="60" spans="2:3" x14ac:dyDescent="0.25">
      <c r="B60">
        <v>58</v>
      </c>
      <c r="C60" t="str">
        <f>IF(MIN('Q1 Data'!R71:AD71)&lt;=0,"Yes","No")</f>
        <v>No</v>
      </c>
    </row>
    <row r="61" spans="2:3" x14ac:dyDescent="0.25">
      <c r="B61">
        <v>59</v>
      </c>
      <c r="C61" t="str">
        <f>IF(MIN('Q1 Data'!R72:AD72)&lt;=0,"Yes","No")</f>
        <v>Yes</v>
      </c>
    </row>
    <row r="62" spans="2:3" x14ac:dyDescent="0.25">
      <c r="B62">
        <v>60</v>
      </c>
      <c r="C62" t="str">
        <f>IF(MIN('Q1 Data'!R73:AD73)&lt;=0,"Yes","No")</f>
        <v>No</v>
      </c>
    </row>
    <row r="63" spans="2:3" x14ac:dyDescent="0.25">
      <c r="B63">
        <v>61</v>
      </c>
      <c r="C63" t="str">
        <f>IF(MIN('Q1 Data'!R74:AD74)&lt;=0,"Yes","No")</f>
        <v>No</v>
      </c>
    </row>
    <row r="64" spans="2:3" x14ac:dyDescent="0.25">
      <c r="B64">
        <v>62</v>
      </c>
      <c r="C64" t="str">
        <f>IF(MIN('Q1 Data'!R75:AD75)&lt;=0,"Yes","No")</f>
        <v>No</v>
      </c>
    </row>
    <row r="65" spans="2:3" x14ac:dyDescent="0.25">
      <c r="B65">
        <v>63</v>
      </c>
      <c r="C65" t="str">
        <f>IF(MIN('Q1 Data'!R76:AD76)&lt;=0,"Yes","No")</f>
        <v>No</v>
      </c>
    </row>
    <row r="66" spans="2:3" x14ac:dyDescent="0.25">
      <c r="B66">
        <v>64</v>
      </c>
      <c r="C66" t="str">
        <f>IF(MIN('Q1 Data'!R77:AD77)&lt;=0,"Yes","No")</f>
        <v>No</v>
      </c>
    </row>
    <row r="67" spans="2:3" x14ac:dyDescent="0.25">
      <c r="B67">
        <v>65</v>
      </c>
      <c r="C67" t="str">
        <f>IF(MIN('Q1 Data'!R78:AD78)&lt;=0,"Yes","No")</f>
        <v>No</v>
      </c>
    </row>
    <row r="68" spans="2:3" x14ac:dyDescent="0.25">
      <c r="B68">
        <v>66</v>
      </c>
      <c r="C68" t="str">
        <f>IF(MIN('Q1 Data'!R79:AD79)&lt;=0,"Yes","No")</f>
        <v>No</v>
      </c>
    </row>
    <row r="69" spans="2:3" x14ac:dyDescent="0.25">
      <c r="B69">
        <v>67</v>
      </c>
      <c r="C69" t="str">
        <f>IF(MIN('Q1 Data'!R80:AD80)&lt;=0,"Yes","No")</f>
        <v>No</v>
      </c>
    </row>
    <row r="70" spans="2:3" x14ac:dyDescent="0.25">
      <c r="B70">
        <v>68</v>
      </c>
      <c r="C70" t="str">
        <f>IF(MIN('Q1 Data'!R81:AD81)&lt;=0,"Yes","No")</f>
        <v>No</v>
      </c>
    </row>
    <row r="71" spans="2:3" x14ac:dyDescent="0.25">
      <c r="B71">
        <v>69</v>
      </c>
      <c r="C71" t="str">
        <f>IF(MIN('Q1 Data'!R82:AD82)&lt;=0,"Yes","No")</f>
        <v>No</v>
      </c>
    </row>
    <row r="72" spans="2:3" x14ac:dyDescent="0.25">
      <c r="B72">
        <v>70</v>
      </c>
      <c r="C72" t="str">
        <f>IF(MIN('Q1 Data'!R83:AD83)&lt;=0,"Yes","No")</f>
        <v>No</v>
      </c>
    </row>
    <row r="73" spans="2:3" x14ac:dyDescent="0.25">
      <c r="B73">
        <v>71</v>
      </c>
      <c r="C73" t="str">
        <f>IF(MIN('Q1 Data'!R84:AD84)&lt;=0,"Yes","No")</f>
        <v>No</v>
      </c>
    </row>
    <row r="74" spans="2:3" x14ac:dyDescent="0.25">
      <c r="B74">
        <v>72</v>
      </c>
      <c r="C74" t="str">
        <f>IF(MIN('Q1 Data'!R85:AD85)&lt;=0,"Yes","No")</f>
        <v>No</v>
      </c>
    </row>
    <row r="75" spans="2:3" x14ac:dyDescent="0.25">
      <c r="B75">
        <v>73</v>
      </c>
      <c r="C75" t="str">
        <f>IF(MIN('Q1 Data'!R86:AD86)&lt;=0,"Yes","No")</f>
        <v>No</v>
      </c>
    </row>
    <row r="76" spans="2:3" x14ac:dyDescent="0.25">
      <c r="B76">
        <v>74</v>
      </c>
      <c r="C76" t="str">
        <f>IF(MIN('Q1 Data'!R87:AD87)&lt;=0,"Yes","No")</f>
        <v>No</v>
      </c>
    </row>
    <row r="77" spans="2:3" x14ac:dyDescent="0.25">
      <c r="B77">
        <v>75</v>
      </c>
      <c r="C77" t="str">
        <f>IF(MIN('Q1 Data'!R88:AD88)&lt;=0,"Yes","No")</f>
        <v>No</v>
      </c>
    </row>
    <row r="78" spans="2:3" x14ac:dyDescent="0.25">
      <c r="B78">
        <v>76</v>
      </c>
      <c r="C78" t="str">
        <f>IF(MIN('Q1 Data'!R89:AD89)&lt;=0,"Yes","No")</f>
        <v>No</v>
      </c>
    </row>
    <row r="79" spans="2:3" x14ac:dyDescent="0.25">
      <c r="B79">
        <v>77</v>
      </c>
      <c r="C79" t="str">
        <f>IF(MIN('Q1 Data'!R90:AD90)&lt;=0,"Yes","No")</f>
        <v>No</v>
      </c>
    </row>
    <row r="80" spans="2:3" x14ac:dyDescent="0.25">
      <c r="B80">
        <v>78</v>
      </c>
      <c r="C80" t="str">
        <f>IF(MIN('Q1 Data'!R91:AD91)&lt;=0,"Yes","No")</f>
        <v>No</v>
      </c>
    </row>
    <row r="81" spans="2:3" x14ac:dyDescent="0.25">
      <c r="B81">
        <v>79</v>
      </c>
      <c r="C81" t="str">
        <f>IF(MIN('Q1 Data'!R92:AD92)&lt;=0,"Yes","No")</f>
        <v>No</v>
      </c>
    </row>
    <row r="82" spans="2:3" x14ac:dyDescent="0.25">
      <c r="B82">
        <v>80</v>
      </c>
      <c r="C82" t="str">
        <f>IF(MIN('Q1 Data'!R93:AD93)&lt;=0,"Yes","No")</f>
        <v>No</v>
      </c>
    </row>
    <row r="83" spans="2:3" x14ac:dyDescent="0.25">
      <c r="B83">
        <v>81</v>
      </c>
      <c r="C83" t="str">
        <f>IF(MIN('Q1 Data'!R94:AD94)&lt;=0,"Yes","No")</f>
        <v>No</v>
      </c>
    </row>
    <row r="84" spans="2:3" x14ac:dyDescent="0.25">
      <c r="B84">
        <v>82</v>
      </c>
      <c r="C84" t="str">
        <f>IF(MIN('Q1 Data'!R95:AD95)&lt;=0,"Yes","No")</f>
        <v>No</v>
      </c>
    </row>
    <row r="85" spans="2:3" x14ac:dyDescent="0.25">
      <c r="B85">
        <v>83</v>
      </c>
      <c r="C85" t="str">
        <f>IF(MIN('Q1 Data'!R96:AD96)&lt;=0,"Yes","No")</f>
        <v>No</v>
      </c>
    </row>
    <row r="86" spans="2:3" x14ac:dyDescent="0.25">
      <c r="B86">
        <v>84</v>
      </c>
      <c r="C86" t="str">
        <f>IF(MIN('Q1 Data'!R97:AD97)&lt;=0,"Yes","No")</f>
        <v>No</v>
      </c>
    </row>
    <row r="87" spans="2:3" x14ac:dyDescent="0.25">
      <c r="B87">
        <v>85</v>
      </c>
      <c r="C87" t="str">
        <f>IF(MIN('Q1 Data'!R98:AD98)&lt;=0,"Yes","No")</f>
        <v>No</v>
      </c>
    </row>
    <row r="88" spans="2:3" x14ac:dyDescent="0.25">
      <c r="B88">
        <v>86</v>
      </c>
      <c r="C88" t="str">
        <f>IF(MIN('Q1 Data'!R99:AD99)&lt;=0,"Yes","No")</f>
        <v>No</v>
      </c>
    </row>
    <row r="89" spans="2:3" x14ac:dyDescent="0.25">
      <c r="B89">
        <v>87</v>
      </c>
      <c r="C89" t="str">
        <f>IF(MIN('Q1 Data'!R100:AD100)&lt;=0,"Yes","No")</f>
        <v>No</v>
      </c>
    </row>
    <row r="90" spans="2:3" x14ac:dyDescent="0.25">
      <c r="B90">
        <v>88</v>
      </c>
      <c r="C90" t="str">
        <f>IF(MIN('Q1 Data'!R101:AD101)&lt;=0,"Yes","No")</f>
        <v>No</v>
      </c>
    </row>
    <row r="91" spans="2:3" x14ac:dyDescent="0.25">
      <c r="B91">
        <v>89</v>
      </c>
      <c r="C91" t="str">
        <f>IF(MIN('Q1 Data'!R102:AD102)&lt;=0,"Yes","No")</f>
        <v>No</v>
      </c>
    </row>
    <row r="92" spans="2:3" x14ac:dyDescent="0.25">
      <c r="B92">
        <v>90</v>
      </c>
      <c r="C92" t="str">
        <f>IF(MIN('Q1 Data'!R103:AD103)&lt;=0,"Yes","No")</f>
        <v>No</v>
      </c>
    </row>
    <row r="93" spans="2:3" x14ac:dyDescent="0.25">
      <c r="B93">
        <v>91</v>
      </c>
      <c r="C93" t="str">
        <f>IF(MIN('Q1 Data'!R104:AD104)&lt;=0,"Yes","No")</f>
        <v>No</v>
      </c>
    </row>
    <row r="94" spans="2:3" x14ac:dyDescent="0.25">
      <c r="B94">
        <v>92</v>
      </c>
      <c r="C94" t="str">
        <f>IF(MIN('Q1 Data'!R105:AD105)&lt;=0,"Yes","No")</f>
        <v>No</v>
      </c>
    </row>
    <row r="95" spans="2:3" x14ac:dyDescent="0.25">
      <c r="B95">
        <v>93</v>
      </c>
      <c r="C95" t="str">
        <f>IF(MIN('Q1 Data'!R106:AD106)&lt;=0,"Yes","No")</f>
        <v>No</v>
      </c>
    </row>
    <row r="96" spans="2:3" x14ac:dyDescent="0.25">
      <c r="B96">
        <v>94</v>
      </c>
      <c r="C96" t="str">
        <f>IF(MIN('Q1 Data'!R107:AD107)&lt;=0,"Yes","No")</f>
        <v>No</v>
      </c>
    </row>
    <row r="97" spans="2:3" x14ac:dyDescent="0.25">
      <c r="B97">
        <v>95</v>
      </c>
      <c r="C97" t="str">
        <f>IF(MIN('Q1 Data'!R108:AD108)&lt;=0,"Yes","No")</f>
        <v>No</v>
      </c>
    </row>
    <row r="98" spans="2:3" x14ac:dyDescent="0.25">
      <c r="B98">
        <v>96</v>
      </c>
      <c r="C98" t="str">
        <f>IF(MIN('Q1 Data'!R109:AD109)&lt;=0,"Yes","No")</f>
        <v>No</v>
      </c>
    </row>
    <row r="99" spans="2:3" x14ac:dyDescent="0.25">
      <c r="B99">
        <v>97</v>
      </c>
      <c r="C99" t="str">
        <f>IF(MIN('Q1 Data'!R110:AD110)&lt;=0,"Yes","No")</f>
        <v>No</v>
      </c>
    </row>
    <row r="100" spans="2:3" x14ac:dyDescent="0.25">
      <c r="B100">
        <v>98</v>
      </c>
      <c r="C100" t="str">
        <f>IF(MIN('Q1 Data'!R111:AD111)&lt;=0,"Yes","No")</f>
        <v>No</v>
      </c>
    </row>
    <row r="101" spans="2:3" x14ac:dyDescent="0.25">
      <c r="B101">
        <v>99</v>
      </c>
      <c r="C101" t="str">
        <f>IF(MIN('Q1 Data'!R112:AD112)&lt;=0,"Yes","No")</f>
        <v>No</v>
      </c>
    </row>
    <row r="102" spans="2:3" x14ac:dyDescent="0.25">
      <c r="B102">
        <v>100</v>
      </c>
      <c r="C102" t="str">
        <f>IF(MIN('Q1 Data'!R113:AD113)&lt;=0,"Yes","No")</f>
        <v>No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5930-4FB2-4657-808A-028893A2CB57}">
  <sheetPr>
    <tabColor theme="4" tint="0.79998168889431442"/>
  </sheetPr>
  <dimension ref="B2:D18"/>
  <sheetViews>
    <sheetView zoomScaleNormal="100" workbookViewId="0"/>
  </sheetViews>
  <sheetFormatPr defaultRowHeight="15" x14ac:dyDescent="0.25"/>
  <cols>
    <col min="3" max="3" width="54.7109375" bestFit="1" customWidth="1"/>
  </cols>
  <sheetData>
    <row r="2" spans="2:4" x14ac:dyDescent="0.25">
      <c r="B2" t="s">
        <v>91</v>
      </c>
      <c r="C2" s="6" t="s">
        <v>135</v>
      </c>
      <c r="D2" s="25" t="s">
        <v>0</v>
      </c>
    </row>
    <row r="3" spans="2:4" x14ac:dyDescent="0.25">
      <c r="C3" s="6" t="s">
        <v>136</v>
      </c>
      <c r="D3" s="25" t="s">
        <v>0</v>
      </c>
    </row>
    <row r="4" spans="2:4" x14ac:dyDescent="0.25">
      <c r="C4" s="6" t="s">
        <v>185</v>
      </c>
      <c r="D4" s="25" t="s">
        <v>0</v>
      </c>
    </row>
    <row r="5" spans="2:4" x14ac:dyDescent="0.25">
      <c r="C5" s="28" t="s">
        <v>137</v>
      </c>
      <c r="D5" s="25" t="s">
        <v>0</v>
      </c>
    </row>
    <row r="6" spans="2:4" x14ac:dyDescent="0.25">
      <c r="D6" s="25" t="s">
        <v>33</v>
      </c>
    </row>
    <row r="8" spans="2:4" x14ac:dyDescent="0.25">
      <c r="B8" t="s">
        <v>96</v>
      </c>
      <c r="C8" s="6" t="s">
        <v>138</v>
      </c>
      <c r="D8" s="25" t="s">
        <v>0</v>
      </c>
    </row>
    <row r="9" spans="2:4" x14ac:dyDescent="0.25">
      <c r="C9" s="6" t="s">
        <v>186</v>
      </c>
      <c r="D9" s="25" t="s">
        <v>0</v>
      </c>
    </row>
    <row r="10" spans="2:4" x14ac:dyDescent="0.25">
      <c r="C10" s="6"/>
      <c r="D10" s="25"/>
    </row>
    <row r="11" spans="2:4" x14ac:dyDescent="0.25">
      <c r="C11" s="28" t="s">
        <v>137</v>
      </c>
      <c r="D11" s="25" t="s">
        <v>0</v>
      </c>
    </row>
    <row r="12" spans="2:4" x14ac:dyDescent="0.25">
      <c r="D12" s="25" t="s">
        <v>33</v>
      </c>
    </row>
    <row r="14" spans="2:4" x14ac:dyDescent="0.25">
      <c r="B14" t="s">
        <v>139</v>
      </c>
      <c r="C14" s="6" t="s">
        <v>140</v>
      </c>
      <c r="D14" s="25" t="s">
        <v>0</v>
      </c>
    </row>
    <row r="15" spans="2:4" x14ac:dyDescent="0.25">
      <c r="C15" s="6" t="s">
        <v>185</v>
      </c>
      <c r="D15" s="25" t="s">
        <v>0</v>
      </c>
    </row>
    <row r="16" spans="2:4" x14ac:dyDescent="0.25">
      <c r="C16" s="6"/>
      <c r="D16" s="25"/>
    </row>
    <row r="17" spans="3:4" x14ac:dyDescent="0.25">
      <c r="C17" s="28" t="s">
        <v>137</v>
      </c>
      <c r="D17" s="25" t="s">
        <v>0</v>
      </c>
    </row>
    <row r="18" spans="3:4" x14ac:dyDescent="0.25">
      <c r="D18" s="25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5A661-119C-4C8B-AA0C-17B68F7B124B}">
  <sheetPr>
    <tabColor theme="7" tint="0.79998168889431442"/>
  </sheetPr>
  <dimension ref="B2:J52"/>
  <sheetViews>
    <sheetView workbookViewId="0"/>
  </sheetViews>
  <sheetFormatPr defaultRowHeight="15" x14ac:dyDescent="0.25"/>
  <cols>
    <col min="2" max="7" width="12.5703125" customWidth="1"/>
    <col min="8" max="10" width="12" customWidth="1"/>
  </cols>
  <sheetData>
    <row r="2" spans="2:10" ht="18" x14ac:dyDescent="0.35">
      <c r="B2" t="s">
        <v>141</v>
      </c>
      <c r="H2" t="s">
        <v>142</v>
      </c>
    </row>
    <row r="4" spans="2:10" x14ac:dyDescent="0.25">
      <c r="B4" s="4" t="s">
        <v>143</v>
      </c>
      <c r="C4" s="3" t="s">
        <v>144</v>
      </c>
      <c r="D4" s="3" t="s">
        <v>145</v>
      </c>
      <c r="E4" s="3" t="s">
        <v>146</v>
      </c>
      <c r="F4" s="3" t="s">
        <v>147</v>
      </c>
      <c r="H4" s="3" t="s">
        <v>144</v>
      </c>
      <c r="I4" s="3" t="s">
        <v>145</v>
      </c>
      <c r="J4" s="3" t="s">
        <v>146</v>
      </c>
    </row>
    <row r="5" spans="2:10" x14ac:dyDescent="0.25">
      <c r="B5" s="5">
        <v>1</v>
      </c>
      <c r="C5" s="22">
        <v>67</v>
      </c>
      <c r="D5" s="22">
        <v>32</v>
      </c>
      <c r="E5" s="22">
        <v>30</v>
      </c>
      <c r="F5" s="22">
        <v>2037</v>
      </c>
      <c r="H5" s="29">
        <v>8.1000000000000003E-2</v>
      </c>
      <c r="I5" s="29">
        <v>0.218</v>
      </c>
      <c r="J5" s="29">
        <v>0.122</v>
      </c>
    </row>
    <row r="6" spans="2:10" x14ac:dyDescent="0.25">
      <c r="B6" s="5">
        <v>2</v>
      </c>
      <c r="C6" s="22">
        <v>70.734998173027833</v>
      </c>
      <c r="D6" s="22">
        <v>35.021960084595342</v>
      </c>
      <c r="E6" s="22">
        <v>28.841151001611436</v>
      </c>
      <c r="F6" s="22">
        <v>2039.2304261631978</v>
      </c>
    </row>
    <row r="7" spans="2:10" x14ac:dyDescent="0.25">
      <c r="B7" s="5">
        <v>3</v>
      </c>
      <c r="C7" s="22">
        <v>72.213459059716072</v>
      </c>
      <c r="D7" s="22">
        <v>36.761815496667154</v>
      </c>
      <c r="E7" s="22">
        <v>30.477616816523621</v>
      </c>
      <c r="F7" s="22">
        <v>2140.710611271058</v>
      </c>
    </row>
    <row r="8" spans="2:10" x14ac:dyDescent="0.25">
      <c r="B8" s="5">
        <v>4</v>
      </c>
      <c r="C8" s="22">
        <v>74.07245586884622</v>
      </c>
      <c r="D8" s="22">
        <v>39.24815723538628</v>
      </c>
      <c r="E8" s="22">
        <v>31.274430578267594</v>
      </c>
      <c r="F8" s="22">
        <v>2181.8792155850774</v>
      </c>
    </row>
    <row r="9" spans="2:10" x14ac:dyDescent="0.25">
      <c r="B9" s="5">
        <v>5</v>
      </c>
      <c r="C9" s="22">
        <v>77.74605348814913</v>
      </c>
      <c r="D9" s="22">
        <v>39.323628475594404</v>
      </c>
      <c r="E9" s="22">
        <v>33.632746894199997</v>
      </c>
      <c r="F9" s="22">
        <v>2286.4774204256987</v>
      </c>
    </row>
    <row r="10" spans="2:10" x14ac:dyDescent="0.25">
      <c r="B10" s="5">
        <v>6</v>
      </c>
      <c r="C10" s="22">
        <v>82.419715049513911</v>
      </c>
      <c r="D10" s="22">
        <v>44.584871103153723</v>
      </c>
      <c r="E10" s="22">
        <v>34.867530666504301</v>
      </c>
      <c r="F10" s="22">
        <v>2453.8918497681052</v>
      </c>
    </row>
    <row r="11" spans="2:10" x14ac:dyDescent="0.25">
      <c r="B11" s="5">
        <v>7</v>
      </c>
      <c r="C11" s="22">
        <v>87.807169870313729</v>
      </c>
      <c r="D11" s="22">
        <v>50.394072855730236</v>
      </c>
      <c r="E11" s="22">
        <v>38.562683768717058</v>
      </c>
      <c r="F11" s="22">
        <v>2841.7442500381881</v>
      </c>
    </row>
    <row r="12" spans="2:10" x14ac:dyDescent="0.25">
      <c r="B12" s="5">
        <v>8</v>
      </c>
      <c r="C12" s="22">
        <v>89.661569809833978</v>
      </c>
      <c r="D12" s="22">
        <v>51.389330221831813</v>
      </c>
      <c r="E12" s="22">
        <v>40.632918167899788</v>
      </c>
      <c r="F12" s="22">
        <v>2933.5233782967844</v>
      </c>
    </row>
    <row r="13" spans="2:10" x14ac:dyDescent="0.25">
      <c r="B13" s="5">
        <v>9</v>
      </c>
      <c r="C13" s="22">
        <v>96.998012357198817</v>
      </c>
      <c r="D13" s="22">
        <v>54.876198340448418</v>
      </c>
      <c r="E13" s="22">
        <v>41.977704376183169</v>
      </c>
      <c r="F13" s="22">
        <v>3103.7515033686509</v>
      </c>
    </row>
    <row r="14" spans="2:10" x14ac:dyDescent="0.25">
      <c r="B14" s="5">
        <v>10</v>
      </c>
      <c r="C14" s="22">
        <v>101.44252016386419</v>
      </c>
      <c r="D14" s="22">
        <v>59.18144614779704</v>
      </c>
      <c r="E14" s="22">
        <v>40.564070361102168</v>
      </c>
      <c r="F14" s="22">
        <v>3207.292356221777</v>
      </c>
    </row>
    <row r="15" spans="2:10" x14ac:dyDescent="0.25">
      <c r="B15" s="5">
        <v>11</v>
      </c>
      <c r="C15" s="22">
        <v>98.746495894324781</v>
      </c>
      <c r="D15" s="22">
        <v>60.171437081185459</v>
      </c>
      <c r="E15" s="22">
        <v>40.617485594156136</v>
      </c>
      <c r="F15" s="22">
        <v>3176.1732903741135</v>
      </c>
    </row>
    <row r="16" spans="2:10" x14ac:dyDescent="0.25">
      <c r="B16" s="5">
        <v>12</v>
      </c>
      <c r="C16" s="22">
        <v>96.450263002749637</v>
      </c>
      <c r="D16" s="22">
        <v>56.809342660325548</v>
      </c>
      <c r="E16" s="22">
        <v>40.659312603528079</v>
      </c>
      <c r="F16" s="22">
        <v>3005.3481531102884</v>
      </c>
    </row>
    <row r="17" spans="2:6" x14ac:dyDescent="0.25">
      <c r="B17" s="5">
        <v>13</v>
      </c>
      <c r="C17" s="22">
        <v>98.995080593327074</v>
      </c>
      <c r="D17" s="22">
        <v>55.500466902134256</v>
      </c>
      <c r="E17" s="22">
        <v>40.420524086939707</v>
      </c>
      <c r="F17" s="22">
        <v>3104.9849382952698</v>
      </c>
    </row>
    <row r="18" spans="2:6" x14ac:dyDescent="0.25">
      <c r="B18" s="5">
        <v>14</v>
      </c>
      <c r="C18" s="22">
        <v>101.24206786058049</v>
      </c>
      <c r="D18" s="22">
        <v>60.994261327098997</v>
      </c>
      <c r="E18" s="22">
        <v>42.006729200569865</v>
      </c>
      <c r="F18" s="22">
        <v>3329.0565121353302</v>
      </c>
    </row>
    <row r="19" spans="2:6" x14ac:dyDescent="0.25">
      <c r="B19" s="5">
        <v>15</v>
      </c>
      <c r="C19" s="22">
        <v>106.34600066662415</v>
      </c>
      <c r="D19" s="22">
        <v>68.086110793841868</v>
      </c>
      <c r="E19" s="22">
        <v>46.124126808894196</v>
      </c>
      <c r="F19" s="22">
        <v>3695.1547313240922</v>
      </c>
    </row>
    <row r="20" spans="2:6" x14ac:dyDescent="0.25">
      <c r="B20" s="5">
        <v>16</v>
      </c>
      <c r="C20" s="22">
        <v>103.04543702643439</v>
      </c>
      <c r="D20" s="22">
        <v>71.170295988682554</v>
      </c>
      <c r="E20" s="22">
        <v>45.668305506374843</v>
      </c>
      <c r="F20" s="22">
        <v>3734.8337046469292</v>
      </c>
    </row>
    <row r="21" spans="2:6" x14ac:dyDescent="0.25">
      <c r="B21" s="5">
        <v>17</v>
      </c>
      <c r="C21" s="22">
        <v>100.16183724232987</v>
      </c>
      <c r="D21" s="22">
        <v>75.503359488252201</v>
      </c>
      <c r="E21" s="22">
        <v>43.953923351099149</v>
      </c>
      <c r="F21" s="22">
        <v>3740.2039034874674</v>
      </c>
    </row>
    <row r="22" spans="2:6" x14ac:dyDescent="0.25">
      <c r="B22" s="5">
        <v>18</v>
      </c>
      <c r="C22" s="22">
        <v>104.70832839458286</v>
      </c>
      <c r="D22" s="22">
        <v>78.277356017419862</v>
      </c>
      <c r="E22" s="22">
        <v>48.285585138376469</v>
      </c>
      <c r="F22" s="22">
        <v>3947.4396157022002</v>
      </c>
    </row>
    <row r="23" spans="2:6" x14ac:dyDescent="0.25">
      <c r="B23" s="5">
        <v>19</v>
      </c>
      <c r="C23" s="22">
        <v>107.40348757722143</v>
      </c>
      <c r="D23" s="22">
        <v>83.05744149825415</v>
      </c>
      <c r="E23" s="22">
        <v>51.175575324211351</v>
      </c>
      <c r="F23" s="22">
        <v>4189.6294511310307</v>
      </c>
    </row>
    <row r="24" spans="2:6" x14ac:dyDescent="0.25">
      <c r="B24" s="5">
        <v>20</v>
      </c>
      <c r="C24" s="22">
        <v>110.31930552236174</v>
      </c>
      <c r="D24" s="22">
        <v>85.038659948877324</v>
      </c>
      <c r="E24" s="22">
        <v>55.2323159248865</v>
      </c>
      <c r="F24" s="22">
        <v>4364.3567151342231</v>
      </c>
    </row>
    <row r="25" spans="2:6" x14ac:dyDescent="0.25">
      <c r="B25" s="5">
        <v>21</v>
      </c>
      <c r="C25" s="22">
        <v>111.60660327686838</v>
      </c>
      <c r="D25" s="22">
        <v>92.837235446679031</v>
      </c>
      <c r="E25" s="22">
        <v>60.629656204013685</v>
      </c>
      <c r="F25" s="22">
        <v>4485.6210616490271</v>
      </c>
    </row>
    <row r="26" spans="2:6" x14ac:dyDescent="0.25">
      <c r="B26" s="5">
        <v>22</v>
      </c>
      <c r="C26" s="22">
        <v>109.95988262516461</v>
      </c>
      <c r="D26" s="22">
        <v>99.481868293066682</v>
      </c>
      <c r="E26" s="22">
        <v>60.627240885562827</v>
      </c>
      <c r="F26" s="22">
        <v>4613.5565546996759</v>
      </c>
    </row>
    <row r="27" spans="2:6" x14ac:dyDescent="0.25">
      <c r="B27" s="5">
        <v>23</v>
      </c>
      <c r="C27" s="22">
        <v>116.47282080487409</v>
      </c>
      <c r="D27" s="22">
        <v>106.94756332876602</v>
      </c>
      <c r="E27" s="22">
        <v>59.062569690009575</v>
      </c>
      <c r="F27" s="22">
        <v>4754.1767142148456</v>
      </c>
    </row>
    <row r="28" spans="2:6" x14ac:dyDescent="0.25">
      <c r="B28" s="5">
        <v>24</v>
      </c>
      <c r="C28" s="22">
        <v>120.16439958905494</v>
      </c>
      <c r="D28" s="22">
        <v>112.17299181888235</v>
      </c>
      <c r="E28" s="22">
        <v>61.94017684347557</v>
      </c>
      <c r="F28" s="22">
        <v>4968.4922245133521</v>
      </c>
    </row>
    <row r="29" spans="2:6" x14ac:dyDescent="0.25">
      <c r="B29" s="5">
        <v>25</v>
      </c>
      <c r="C29" s="22">
        <v>120.43257657731445</v>
      </c>
      <c r="D29" s="22">
        <v>121.90728797756134</v>
      </c>
      <c r="E29" s="22">
        <v>61.528324378316121</v>
      </c>
      <c r="F29" s="22">
        <v>5007.1904689578505</v>
      </c>
    </row>
    <row r="30" spans="2:6" x14ac:dyDescent="0.25">
      <c r="B30" s="5">
        <v>26</v>
      </c>
      <c r="C30" s="22">
        <v>122.45837619360124</v>
      </c>
      <c r="D30" s="22">
        <v>114.43304955126857</v>
      </c>
      <c r="E30" s="22">
        <v>56.932771751442964</v>
      </c>
      <c r="F30" s="22">
        <v>5009.5180935884364</v>
      </c>
    </row>
    <row r="31" spans="2:6" x14ac:dyDescent="0.25">
      <c r="B31" s="5">
        <v>27</v>
      </c>
      <c r="C31" s="22">
        <v>112.82593070560506</v>
      </c>
      <c r="D31" s="22">
        <v>109.22033523795025</v>
      </c>
      <c r="E31" s="22">
        <v>56.548653730027382</v>
      </c>
      <c r="F31" s="22">
        <v>4610.6066049561059</v>
      </c>
    </row>
    <row r="32" spans="2:6" x14ac:dyDescent="0.25">
      <c r="B32" s="5">
        <v>28</v>
      </c>
      <c r="C32" s="22">
        <v>112.29298714987316</v>
      </c>
      <c r="D32" s="22">
        <v>104.4130210188862</v>
      </c>
      <c r="E32" s="22">
        <v>56.102694294100232</v>
      </c>
      <c r="F32" s="22">
        <v>4450.0981302380878</v>
      </c>
    </row>
    <row r="33" spans="2:6" x14ac:dyDescent="0.25">
      <c r="B33" s="5">
        <v>29</v>
      </c>
      <c r="C33" s="22">
        <v>117.80309276387187</v>
      </c>
      <c r="D33" s="22">
        <v>113.92357202816629</v>
      </c>
      <c r="E33" s="22">
        <v>58.339207575361613</v>
      </c>
      <c r="F33" s="22">
        <v>4595.3424568831515</v>
      </c>
    </row>
    <row r="34" spans="2:6" x14ac:dyDescent="0.25">
      <c r="B34" s="5">
        <v>30</v>
      </c>
      <c r="C34" s="22">
        <v>117.04936177118255</v>
      </c>
      <c r="D34" s="22">
        <v>115.0471851556506</v>
      </c>
      <c r="E34" s="22">
        <v>63.788343632647361</v>
      </c>
      <c r="F34" s="22">
        <v>4768.8124075961341</v>
      </c>
    </row>
    <row r="35" spans="2:6" x14ac:dyDescent="0.25">
      <c r="B35" s="5">
        <v>31</v>
      </c>
      <c r="C35" s="22">
        <v>117.67261311207868</v>
      </c>
      <c r="D35" s="22">
        <v>119.28377790188408</v>
      </c>
      <c r="E35" s="22">
        <v>65.9985203491714</v>
      </c>
      <c r="F35" s="22">
        <v>4935.1874335858593</v>
      </c>
    </row>
    <row r="36" spans="2:6" x14ac:dyDescent="0.25">
      <c r="B36" s="5">
        <v>32</v>
      </c>
      <c r="C36" s="22">
        <v>116.76255255319947</v>
      </c>
      <c r="D36" s="22">
        <v>115.37001767132099</v>
      </c>
      <c r="E36" s="22">
        <v>65.216292631731079</v>
      </c>
      <c r="F36" s="22">
        <v>4728.1828232833432</v>
      </c>
    </row>
    <row r="37" spans="2:6" x14ac:dyDescent="0.25">
      <c r="B37" s="5">
        <v>33</v>
      </c>
      <c r="C37" s="22">
        <v>119.7795572774549</v>
      </c>
      <c r="D37" s="22">
        <v>112.27894853194371</v>
      </c>
      <c r="E37" s="22">
        <v>68.032320302426157</v>
      </c>
      <c r="F37" s="22">
        <v>4738.2313965969051</v>
      </c>
    </row>
    <row r="38" spans="2:6" x14ac:dyDescent="0.25">
      <c r="B38" s="5">
        <v>34</v>
      </c>
      <c r="C38" s="22">
        <v>126.30356357784397</v>
      </c>
      <c r="D38" s="22">
        <v>120.45725413240027</v>
      </c>
      <c r="E38" s="22">
        <v>71.229032270166542</v>
      </c>
      <c r="F38" s="22">
        <v>4877.7277275458373</v>
      </c>
    </row>
    <row r="39" spans="2:6" x14ac:dyDescent="0.25">
      <c r="B39" s="5">
        <v>35</v>
      </c>
      <c r="C39" s="22">
        <v>129.2082347411361</v>
      </c>
      <c r="D39" s="22">
        <v>132.59775222636159</v>
      </c>
      <c r="E39" s="22">
        <v>74.436284935596106</v>
      </c>
      <c r="F39" s="22">
        <v>5104.5451653608234</v>
      </c>
    </row>
    <row r="40" spans="2:6" x14ac:dyDescent="0.25">
      <c r="B40" s="5">
        <v>36</v>
      </c>
      <c r="C40" s="22">
        <v>134.39384797023206</v>
      </c>
      <c r="D40" s="22">
        <v>122.70217514336342</v>
      </c>
      <c r="E40" s="22">
        <v>77.261546100834067</v>
      </c>
      <c r="F40" s="22">
        <v>5230.5775222762677</v>
      </c>
    </row>
    <row r="41" spans="2:6" x14ac:dyDescent="0.25">
      <c r="B41" s="5">
        <v>37</v>
      </c>
      <c r="C41" s="22">
        <v>135.34404472197082</v>
      </c>
      <c r="D41" s="22">
        <v>127.30921474623378</v>
      </c>
      <c r="E41" s="22">
        <v>76.067158255719391</v>
      </c>
      <c r="F41" s="22">
        <v>5105.9326787414293</v>
      </c>
    </row>
    <row r="42" spans="2:6" x14ac:dyDescent="0.25">
      <c r="B42" s="5">
        <v>38</v>
      </c>
      <c r="C42" s="22">
        <v>139.11564633073723</v>
      </c>
      <c r="D42" s="22">
        <v>137.14171473785771</v>
      </c>
      <c r="E42" s="22">
        <v>75.394940726675145</v>
      </c>
      <c r="F42" s="22">
        <v>5466.8349095882504</v>
      </c>
    </row>
    <row r="43" spans="2:6" x14ac:dyDescent="0.25">
      <c r="B43" s="5">
        <v>39</v>
      </c>
      <c r="C43" s="22">
        <v>140.38355404072215</v>
      </c>
      <c r="D43" s="22">
        <v>133.40854660522595</v>
      </c>
      <c r="E43" s="22">
        <v>80.183777535593862</v>
      </c>
      <c r="F43" s="22">
        <v>5562.7063290541737</v>
      </c>
    </row>
    <row r="44" spans="2:6" x14ac:dyDescent="0.25">
      <c r="B44" s="5">
        <v>40</v>
      </c>
      <c r="C44" s="22">
        <v>144.26853023892687</v>
      </c>
      <c r="D44" s="22">
        <v>139.34677060755575</v>
      </c>
      <c r="E44" s="22">
        <v>83.743627895542389</v>
      </c>
      <c r="F44" s="22">
        <v>5919.2964717342056</v>
      </c>
    </row>
    <row r="45" spans="2:6" x14ac:dyDescent="0.25">
      <c r="B45" s="5">
        <v>41</v>
      </c>
      <c r="C45" s="22">
        <v>149.5618271822571</v>
      </c>
      <c r="D45" s="22">
        <v>150.03179517759142</v>
      </c>
      <c r="E45" s="22">
        <v>87.246669323346126</v>
      </c>
      <c r="F45" s="22">
        <v>6571.4996167890667</v>
      </c>
    </row>
    <row r="46" spans="2:6" x14ac:dyDescent="0.25">
      <c r="B46" s="5">
        <v>42</v>
      </c>
      <c r="C46" s="22">
        <v>156.67234859397706</v>
      </c>
      <c r="D46" s="22">
        <v>158.2441120303202</v>
      </c>
      <c r="E46" s="22">
        <v>93.262898034411563</v>
      </c>
      <c r="F46" s="22">
        <v>6868.9516510165977</v>
      </c>
    </row>
    <row r="47" spans="2:6" x14ac:dyDescent="0.25">
      <c r="B47" s="5">
        <v>43</v>
      </c>
      <c r="C47" s="22">
        <v>151.49047484373611</v>
      </c>
      <c r="D47" s="22">
        <v>150.08174385178003</v>
      </c>
      <c r="E47" s="22">
        <v>88.029929832968932</v>
      </c>
      <c r="F47" s="22">
        <v>6529.3776363791139</v>
      </c>
    </row>
    <row r="48" spans="2:6" x14ac:dyDescent="0.25">
      <c r="B48" s="5">
        <v>44</v>
      </c>
      <c r="C48" s="22">
        <v>161.68134846693474</v>
      </c>
      <c r="D48" s="22">
        <v>157.4407098211351</v>
      </c>
      <c r="E48" s="22">
        <v>86.931772241536535</v>
      </c>
      <c r="F48" s="22">
        <v>7006.8086065530915</v>
      </c>
    </row>
    <row r="49" spans="2:6" x14ac:dyDescent="0.25">
      <c r="B49" s="5">
        <v>45</v>
      </c>
      <c r="C49" s="22">
        <v>163.20498121210076</v>
      </c>
      <c r="D49" s="22">
        <v>159.24203131054472</v>
      </c>
      <c r="E49" s="22">
        <v>92.295392952884157</v>
      </c>
      <c r="F49" s="22">
        <v>6997.6345320851269</v>
      </c>
    </row>
    <row r="50" spans="2:6" x14ac:dyDescent="0.25">
      <c r="B50" s="5">
        <v>46</v>
      </c>
      <c r="C50" s="22">
        <v>160.49564942103589</v>
      </c>
      <c r="D50" s="22">
        <v>161.71147194667395</v>
      </c>
      <c r="E50" s="22">
        <v>92.686922576535522</v>
      </c>
      <c r="F50" s="22">
        <v>6733.5321163174576</v>
      </c>
    </row>
    <row r="51" spans="2:6" x14ac:dyDescent="0.25">
      <c r="B51" s="5">
        <v>47</v>
      </c>
      <c r="C51" s="22">
        <v>162.61455415282867</v>
      </c>
      <c r="D51" s="22">
        <v>168.26814918343737</v>
      </c>
      <c r="E51" s="22">
        <v>95.608736112848035</v>
      </c>
      <c r="F51" s="22">
        <v>7079.203808955459</v>
      </c>
    </row>
    <row r="52" spans="2:6" x14ac:dyDescent="0.25">
      <c r="B52" s="5">
        <v>48</v>
      </c>
      <c r="C52" s="22">
        <v>172.46142828804693</v>
      </c>
      <c r="D52" s="22">
        <v>171.98782923521429</v>
      </c>
      <c r="E52" s="22">
        <v>100.07055829339073</v>
      </c>
      <c r="F52" s="22">
        <v>7653.2800455287024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DDCC2-B26C-44C3-AA82-C73D08CC0C90}">
  <sheetPr>
    <tabColor theme="7" tint="0.79998168889431442"/>
  </sheetPr>
  <dimension ref="B2:J52"/>
  <sheetViews>
    <sheetView workbookViewId="0"/>
  </sheetViews>
  <sheetFormatPr defaultRowHeight="15" x14ac:dyDescent="0.25"/>
  <cols>
    <col min="2" max="6" width="14.85546875" customWidth="1"/>
    <col min="8" max="8" width="9.140625" customWidth="1"/>
  </cols>
  <sheetData>
    <row r="2" spans="2:10" x14ac:dyDescent="0.25">
      <c r="C2" s="8" t="s">
        <v>0</v>
      </c>
      <c r="D2" s="8" t="s">
        <v>0</v>
      </c>
      <c r="E2" s="8" t="s">
        <v>0</v>
      </c>
      <c r="F2" s="8" t="s">
        <v>0</v>
      </c>
      <c r="H2" s="14"/>
    </row>
    <row r="3" spans="2:10" x14ac:dyDescent="0.25">
      <c r="B3" s="4" t="s">
        <v>143</v>
      </c>
      <c r="C3" s="3" t="s">
        <v>144</v>
      </c>
      <c r="D3" s="3" t="s">
        <v>145</v>
      </c>
      <c r="E3" s="3" t="s">
        <v>146</v>
      </c>
      <c r="F3" s="3" t="s">
        <v>147</v>
      </c>
    </row>
    <row r="4" spans="2:10" x14ac:dyDescent="0.25">
      <c r="B4" s="5">
        <v>1</v>
      </c>
      <c r="C4" s="30">
        <f>'Q2 Data'!C6/'Q2 Data'!C5-1</f>
        <v>5.574624138847506E-2</v>
      </c>
      <c r="D4" s="30">
        <f>'Q2 Data'!D6/'Q2 Data'!D5-1</f>
        <v>9.4436252643604446E-2</v>
      </c>
      <c r="E4" s="30">
        <f>'Q2 Data'!E6/'Q2 Data'!E5-1</f>
        <v>-3.8628299946285471E-2</v>
      </c>
      <c r="F4" s="30">
        <f>'Q2 Data'!F6/'Q2 Data'!F5-1</f>
        <v>1.0949563884132818E-3</v>
      </c>
      <c r="H4" s="31"/>
      <c r="I4" s="31"/>
      <c r="J4" s="31"/>
    </row>
    <row r="5" spans="2:10" x14ac:dyDescent="0.25">
      <c r="B5" s="5">
        <v>2</v>
      </c>
      <c r="C5" s="30">
        <f>'Q2 Data'!C7/'Q2 Data'!C6-1</f>
        <v>2.0901405596586153E-2</v>
      </c>
      <c r="D5" s="30">
        <f>'Q2 Data'!D7/'Q2 Data'!D6-1</f>
        <v>4.9678984496276168E-2</v>
      </c>
      <c r="E5" s="30">
        <f>'Q2 Data'!E7/'Q2 Data'!E6-1</f>
        <v>5.6740655559160968E-2</v>
      </c>
      <c r="F5" s="30">
        <f>'Q2 Data'!F7/'Q2 Data'!F6-1</f>
        <v>4.9763961838679815E-2</v>
      </c>
      <c r="H5" s="31"/>
      <c r="I5" s="31"/>
      <c r="J5" s="31"/>
    </row>
    <row r="6" spans="2:10" x14ac:dyDescent="0.25">
      <c r="B6" s="5">
        <v>3</v>
      </c>
      <c r="C6" s="30">
        <f>'Q2 Data'!C8/'Q2 Data'!C7-1</f>
        <v>2.5743079383482748E-2</v>
      </c>
      <c r="D6" s="30">
        <f>'Q2 Data'!D8/'Q2 Data'!D7-1</f>
        <v>6.763381256142087E-2</v>
      </c>
      <c r="E6" s="30">
        <f>'Q2 Data'!E8/'Q2 Data'!E7-1</f>
        <v>2.6144227960500421E-2</v>
      </c>
      <c r="F6" s="30">
        <f>'Q2 Data'!F8/'Q2 Data'!F7-1</f>
        <v>1.9231279602792917E-2</v>
      </c>
      <c r="H6" s="31"/>
      <c r="I6" s="31"/>
      <c r="J6" s="31"/>
    </row>
    <row r="7" spans="2:10" x14ac:dyDescent="0.25">
      <c r="B7" s="5">
        <v>4</v>
      </c>
      <c r="C7" s="30">
        <f>'Q2 Data'!C9/'Q2 Data'!C8-1</f>
        <v>4.9594651293963343E-2</v>
      </c>
      <c r="D7" s="30">
        <f>'Q2 Data'!D9/'Q2 Data'!D8-1</f>
        <v>1.9229244256104838E-3</v>
      </c>
      <c r="E7" s="30">
        <f>'Q2 Data'!E9/'Q2 Data'!E8-1</f>
        <v>7.5407170404924395E-2</v>
      </c>
      <c r="F7" s="30">
        <f>'Q2 Data'!F9/'Q2 Data'!F8-1</f>
        <v>4.7939502834749348E-2</v>
      </c>
      <c r="H7" s="31"/>
      <c r="I7" s="31"/>
      <c r="J7" s="31"/>
    </row>
    <row r="8" spans="2:10" x14ac:dyDescent="0.25">
      <c r="B8" s="5">
        <v>5</v>
      </c>
      <c r="C8" s="30">
        <f>'Q2 Data'!C10/'Q2 Data'!C9-1</f>
        <v>6.0114454067783596E-2</v>
      </c>
      <c r="D8" s="30">
        <f>'Q2 Data'!D10/'Q2 Data'!D9-1</f>
        <v>0.13379341712641368</v>
      </c>
      <c r="E8" s="30">
        <f>'Q2 Data'!E10/'Q2 Data'!E9-1</f>
        <v>3.6713735461115338E-2</v>
      </c>
      <c r="F8" s="30">
        <f>'Q2 Data'!F10/'Q2 Data'!F9-1</f>
        <v>7.3219366982087752E-2</v>
      </c>
      <c r="H8" s="31"/>
      <c r="I8" s="31"/>
      <c r="J8" s="31"/>
    </row>
    <row r="9" spans="2:10" x14ac:dyDescent="0.25">
      <c r="B9" s="5">
        <v>6</v>
      </c>
      <c r="C9" s="30">
        <f>'Q2 Data'!C11/'Q2 Data'!C10-1</f>
        <v>6.5366093750303333E-2</v>
      </c>
      <c r="D9" s="30">
        <f>'Q2 Data'!D11/'Q2 Data'!D10-1</f>
        <v>0.13029535824239713</v>
      </c>
      <c r="E9" s="30">
        <f>'Q2 Data'!E11/'Q2 Data'!E10-1</f>
        <v>0.10597690836083573</v>
      </c>
      <c r="F9" s="30">
        <f>'Q2 Data'!F11/'Q2 Data'!F10-1</f>
        <v>0.15805602855184309</v>
      </c>
      <c r="H9" s="31"/>
      <c r="I9" s="31"/>
      <c r="J9" s="31"/>
    </row>
    <row r="10" spans="2:10" x14ac:dyDescent="0.25">
      <c r="B10" s="5">
        <v>7</v>
      </c>
      <c r="C10" s="30">
        <f>'Q2 Data'!C12/'Q2 Data'!C11-1</f>
        <v>2.1119003633291999E-2</v>
      </c>
      <c r="D10" s="30">
        <f>'Q2 Data'!D12/'Q2 Data'!D11-1</f>
        <v>1.9749492543514657E-2</v>
      </c>
      <c r="E10" s="30">
        <f>'Q2 Data'!E12/'Q2 Data'!E11-1</f>
        <v>5.3684914971145137E-2</v>
      </c>
      <c r="F10" s="30">
        <f>'Q2 Data'!F12/'Q2 Data'!F11-1</f>
        <v>3.2296758674663639E-2</v>
      </c>
      <c r="H10" s="31"/>
      <c r="I10" s="31"/>
      <c r="J10" s="31"/>
    </row>
    <row r="11" spans="2:10" x14ac:dyDescent="0.25">
      <c r="B11" s="5">
        <v>8</v>
      </c>
      <c r="C11" s="30">
        <f>'Q2 Data'!C13/'Q2 Data'!C12-1</f>
        <v>8.1823712912064028E-2</v>
      </c>
      <c r="D11" s="30">
        <f>'Q2 Data'!D13/'Q2 Data'!D12-1</f>
        <v>6.7851986075025295E-2</v>
      </c>
      <c r="E11" s="30">
        <f>'Q2 Data'!E13/'Q2 Data'!E12-1</f>
        <v>3.3095979046510404E-2</v>
      </c>
      <c r="F11" s="30">
        <f>'Q2 Data'!F13/'Q2 Data'!F12-1</f>
        <v>5.8028555808101956E-2</v>
      </c>
      <c r="H11" s="31"/>
      <c r="I11" s="31"/>
      <c r="J11" s="31"/>
    </row>
    <row r="12" spans="2:10" x14ac:dyDescent="0.25">
      <c r="B12" s="5">
        <v>9</v>
      </c>
      <c r="C12" s="30">
        <f>'Q2 Data'!C14/'Q2 Data'!C13-1</f>
        <v>4.5820607027474924E-2</v>
      </c>
      <c r="D12" s="30">
        <f>'Q2 Data'!D14/'Q2 Data'!D13-1</f>
        <v>7.8453827662024578E-2</v>
      </c>
      <c r="E12" s="30">
        <f>'Q2 Data'!E14/'Q2 Data'!E13-1</f>
        <v>-3.3675829493026166E-2</v>
      </c>
      <c r="F12" s="30">
        <f>'Q2 Data'!F14/'Q2 Data'!F13-1</f>
        <v>3.3359904212933333E-2</v>
      </c>
      <c r="H12" s="31"/>
      <c r="I12" s="31"/>
      <c r="J12" s="31"/>
    </row>
    <row r="13" spans="2:10" x14ac:dyDescent="0.25">
      <c r="B13" s="5">
        <v>10</v>
      </c>
      <c r="C13" s="30">
        <f>'Q2 Data'!C15/'Q2 Data'!C14-1</f>
        <v>-2.6576866043789282E-2</v>
      </c>
      <c r="D13" s="30">
        <f>'Q2 Data'!D15/'Q2 Data'!D14-1</f>
        <v>1.6728062557242351E-2</v>
      </c>
      <c r="E13" s="30">
        <f>'Q2 Data'!E15/'Q2 Data'!E14-1</f>
        <v>1.3168114683379528E-3</v>
      </c>
      <c r="F13" s="30">
        <f>'Q2 Data'!F15/'Q2 Data'!F14-1</f>
        <v>-9.7025972039299635E-3</v>
      </c>
      <c r="H13" s="31"/>
      <c r="I13" s="31"/>
      <c r="J13" s="31"/>
    </row>
    <row r="14" spans="2:10" x14ac:dyDescent="0.25">
      <c r="B14" s="5">
        <v>11</v>
      </c>
      <c r="C14" s="30">
        <f>'Q2 Data'!C16/'Q2 Data'!C15-1</f>
        <v>-2.325381645980118E-2</v>
      </c>
      <c r="D14" s="30">
        <f>'Q2 Data'!D16/'Q2 Data'!D15-1</f>
        <v>-5.5875255502434662E-2</v>
      </c>
      <c r="E14" s="30">
        <f>'Q2 Data'!E16/'Q2 Data'!E15-1</f>
        <v>1.0297784011021882E-3</v>
      </c>
      <c r="F14" s="30">
        <f>'Q2 Data'!F16/'Q2 Data'!F15-1</f>
        <v>-5.3783317736956326E-2</v>
      </c>
      <c r="H14" s="31"/>
      <c r="I14" s="31"/>
      <c r="J14" s="31"/>
    </row>
    <row r="15" spans="2:10" x14ac:dyDescent="0.25">
      <c r="B15" s="5">
        <v>12</v>
      </c>
      <c r="C15" s="30">
        <f>'Q2 Data'!C17/'Q2 Data'!C16-1</f>
        <v>2.638476569529824E-2</v>
      </c>
      <c r="D15" s="30">
        <f>'Q2 Data'!D17/'Q2 Data'!D16-1</f>
        <v>-2.3039797626551062E-2</v>
      </c>
      <c r="E15" s="30">
        <f>'Q2 Data'!E17/'Q2 Data'!E16-1</f>
        <v>-5.8729108117694384E-3</v>
      </c>
      <c r="F15" s="30">
        <f>'Q2 Data'!F17/'Q2 Data'!F16-1</f>
        <v>3.3153159004844612E-2</v>
      </c>
      <c r="H15" s="31"/>
      <c r="I15" s="31"/>
      <c r="J15" s="31"/>
    </row>
    <row r="16" spans="2:10" x14ac:dyDescent="0.25">
      <c r="B16" s="5">
        <v>13</v>
      </c>
      <c r="C16" s="30">
        <f>'Q2 Data'!C18/'Q2 Data'!C17-1</f>
        <v>2.2697968967610338E-2</v>
      </c>
      <c r="D16" s="30">
        <f>'Q2 Data'!D18/'Q2 Data'!D17-1</f>
        <v>9.8986454197802054E-2</v>
      </c>
      <c r="E16" s="30">
        <f>'Q2 Data'!E18/'Q2 Data'!E17-1</f>
        <v>3.9242566727200723E-2</v>
      </c>
      <c r="F16" s="30">
        <f>'Q2 Data'!F18/'Q2 Data'!F17-1</f>
        <v>7.2165108138360967E-2</v>
      </c>
      <c r="H16" s="31"/>
      <c r="I16" s="31"/>
      <c r="J16" s="31"/>
    </row>
    <row r="17" spans="2:10" x14ac:dyDescent="0.25">
      <c r="B17" s="5">
        <v>14</v>
      </c>
      <c r="C17" s="30">
        <f>'Q2 Data'!C19/'Q2 Data'!C18-1</f>
        <v>5.0413162373098119E-2</v>
      </c>
      <c r="D17" s="30">
        <f>'Q2 Data'!D19/'Q2 Data'!D18-1</f>
        <v>0.11627076568254213</v>
      </c>
      <c r="E17" s="30">
        <f>'Q2 Data'!E19/'Q2 Data'!E18-1</f>
        <v>9.801757210529205E-2</v>
      </c>
      <c r="F17" s="30">
        <f>'Q2 Data'!F19/'Q2 Data'!F18-1</f>
        <v>0.10997056308723896</v>
      </c>
      <c r="H17" s="31"/>
      <c r="I17" s="31"/>
      <c r="J17" s="31"/>
    </row>
    <row r="18" spans="2:10" x14ac:dyDescent="0.25">
      <c r="B18" s="5">
        <v>15</v>
      </c>
      <c r="C18" s="30">
        <f>'Q2 Data'!C20/'Q2 Data'!C19-1</f>
        <v>-3.1036086166854937E-2</v>
      </c>
      <c r="D18" s="30">
        <f>'Q2 Data'!D20/'Q2 Data'!D19-1</f>
        <v>4.5298301795784646E-2</v>
      </c>
      <c r="E18" s="30">
        <f>'Q2 Data'!E20/'Q2 Data'!E19-1</f>
        <v>-9.8824917468455231E-3</v>
      </c>
      <c r="F18" s="30">
        <f>'Q2 Data'!F20/'Q2 Data'!F19-1</f>
        <v>1.0738108741827679E-2</v>
      </c>
      <c r="H18" s="31"/>
      <c r="I18" s="31"/>
      <c r="J18" s="31"/>
    </row>
    <row r="19" spans="2:10" x14ac:dyDescent="0.25">
      <c r="B19" s="5">
        <v>16</v>
      </c>
      <c r="C19" s="30">
        <f>'Q2 Data'!C21/'Q2 Data'!C20-1</f>
        <v>-2.7983769755518528E-2</v>
      </c>
      <c r="D19" s="30">
        <f>'Q2 Data'!D21/'Q2 Data'!D20-1</f>
        <v>6.0883033284822696E-2</v>
      </c>
      <c r="E19" s="30">
        <f>'Q2 Data'!E21/'Q2 Data'!E20-1</f>
        <v>-3.7539867885756806E-2</v>
      </c>
      <c r="F19" s="30">
        <f>'Q2 Data'!F21/'Q2 Data'!F20-1</f>
        <v>1.4378682600664217E-3</v>
      </c>
      <c r="H19" s="31"/>
      <c r="I19" s="31"/>
      <c r="J19" s="31"/>
    </row>
    <row r="20" spans="2:10" x14ac:dyDescent="0.25">
      <c r="B20" s="5">
        <v>17</v>
      </c>
      <c r="C20" s="30">
        <f>'Q2 Data'!C22/'Q2 Data'!C21-1</f>
        <v>4.5391451249574111E-2</v>
      </c>
      <c r="D20" s="30">
        <f>'Q2 Data'!D22/'Q2 Data'!D21-1</f>
        <v>3.6740041078559882E-2</v>
      </c>
      <c r="E20" s="30">
        <f>'Q2 Data'!E22/'Q2 Data'!E21-1</f>
        <v>9.8550060086251667E-2</v>
      </c>
      <c r="F20" s="30">
        <f>'Q2 Data'!F22/'Q2 Data'!F21-1</f>
        <v>5.5407597436466061E-2</v>
      </c>
      <c r="H20" s="31"/>
      <c r="I20" s="31"/>
      <c r="J20" s="31"/>
    </row>
    <row r="21" spans="2:10" x14ac:dyDescent="0.25">
      <c r="B21" s="5">
        <v>18</v>
      </c>
      <c r="C21" s="30">
        <f>'Q2 Data'!C23/'Q2 Data'!C22-1</f>
        <v>2.5739683021985815E-2</v>
      </c>
      <c r="D21" s="30">
        <f>'Q2 Data'!D23/'Q2 Data'!D22-1</f>
        <v>6.106600585449673E-2</v>
      </c>
      <c r="E21" s="30">
        <f>'Q2 Data'!E23/'Q2 Data'!E22-1</f>
        <v>5.9852027837143718E-2</v>
      </c>
      <c r="F21" s="30">
        <f>'Q2 Data'!F23/'Q2 Data'!F22-1</f>
        <v>6.1353651735530867E-2</v>
      </c>
      <c r="H21" s="31"/>
      <c r="I21" s="31"/>
      <c r="J21" s="31"/>
    </row>
    <row r="22" spans="2:10" x14ac:dyDescent="0.25">
      <c r="B22" s="5">
        <v>19</v>
      </c>
      <c r="C22" s="30">
        <f>'Q2 Data'!C24/'Q2 Data'!C23-1</f>
        <v>2.7148261298720833E-2</v>
      </c>
      <c r="D22" s="30">
        <f>'Q2 Data'!D24/'Q2 Data'!D23-1</f>
        <v>2.3853593547843888E-2</v>
      </c>
      <c r="E22" s="30">
        <f>'Q2 Data'!E24/'Q2 Data'!E23-1</f>
        <v>7.9271030662080078E-2</v>
      </c>
      <c r="F22" s="30">
        <f>'Q2 Data'!F24/'Q2 Data'!F23-1</f>
        <v>4.1704705879423987E-2</v>
      </c>
      <c r="H22" s="31"/>
      <c r="I22" s="31"/>
      <c r="J22" s="31"/>
    </row>
    <row r="23" spans="2:10" x14ac:dyDescent="0.25">
      <c r="B23" s="5">
        <v>20</v>
      </c>
      <c r="C23" s="30">
        <f>'Q2 Data'!C25/'Q2 Data'!C24-1</f>
        <v>1.1668834828240549E-2</v>
      </c>
      <c r="D23" s="30">
        <f>'Q2 Data'!D25/'Q2 Data'!D24-1</f>
        <v>9.1706236933766005E-2</v>
      </c>
      <c r="E23" s="30">
        <f>'Q2 Data'!E25/'Q2 Data'!E24-1</f>
        <v>9.7720694646723283E-2</v>
      </c>
      <c r="F23" s="30">
        <f>'Q2 Data'!F25/'Q2 Data'!F24-1</f>
        <v>2.7785159286888073E-2</v>
      </c>
      <c r="H23" s="31"/>
      <c r="I23" s="31"/>
      <c r="J23" s="31"/>
    </row>
    <row r="24" spans="2:10" x14ac:dyDescent="0.25">
      <c r="B24" s="5">
        <v>21</v>
      </c>
      <c r="C24" s="30">
        <f>'Q2 Data'!C26/'Q2 Data'!C25-1</f>
        <v>-1.4754688372861424E-2</v>
      </c>
      <c r="D24" s="30">
        <f>'Q2 Data'!D26/'Q2 Data'!D25-1</f>
        <v>7.1572928840648142E-2</v>
      </c>
      <c r="E24" s="30">
        <f>'Q2 Data'!E26/'Q2 Data'!E25-1</f>
        <v>-3.983724470957295E-5</v>
      </c>
      <c r="F24" s="30">
        <f>'Q2 Data'!F26/'Q2 Data'!F25-1</f>
        <v>2.8521244057922335E-2</v>
      </c>
      <c r="H24" s="31"/>
      <c r="I24" s="31"/>
      <c r="J24" s="31"/>
    </row>
    <row r="25" spans="2:10" x14ac:dyDescent="0.25">
      <c r="B25" s="5">
        <v>22</v>
      </c>
      <c r="C25" s="30">
        <f>'Q2 Data'!C27/'Q2 Data'!C26-1</f>
        <v>5.92301303368159E-2</v>
      </c>
      <c r="D25" s="30">
        <f>'Q2 Data'!D27/'Q2 Data'!D26-1</f>
        <v>7.5045786370898426E-2</v>
      </c>
      <c r="E25" s="30">
        <f>'Q2 Data'!E27/'Q2 Data'!E26-1</f>
        <v>-2.5808055466463586E-2</v>
      </c>
      <c r="F25" s="30">
        <f>'Q2 Data'!F27/'Q2 Data'!F26-1</f>
        <v>3.0479773651397979E-2</v>
      </c>
      <c r="H25" s="31"/>
      <c r="I25" s="31"/>
      <c r="J25" s="31"/>
    </row>
    <row r="26" spans="2:10" x14ac:dyDescent="0.25">
      <c r="B26" s="5">
        <v>23</v>
      </c>
      <c r="C26" s="30">
        <f>'Q2 Data'!C28/'Q2 Data'!C27-1</f>
        <v>3.1694765857567031E-2</v>
      </c>
      <c r="D26" s="30">
        <f>'Q2 Data'!D28/'Q2 Data'!D27-1</f>
        <v>4.8859724592816622E-2</v>
      </c>
      <c r="E26" s="30">
        <f>'Q2 Data'!E28/'Q2 Data'!E27-1</f>
        <v>4.8721333470066464E-2</v>
      </c>
      <c r="F26" s="30">
        <f>'Q2 Data'!F28/'Q2 Data'!F27-1</f>
        <v>4.5079416096946767E-2</v>
      </c>
      <c r="H26" s="31"/>
      <c r="I26" s="31"/>
      <c r="J26" s="31"/>
    </row>
    <row r="27" spans="2:10" x14ac:dyDescent="0.25">
      <c r="B27" s="5">
        <v>24</v>
      </c>
      <c r="C27" s="30">
        <f>'Q2 Data'!C29/'Q2 Data'!C28-1</f>
        <v>2.2317507446185658E-3</v>
      </c>
      <c r="D27" s="30">
        <f>'Q2 Data'!D29/'Q2 Data'!D28-1</f>
        <v>8.6779321838863499E-2</v>
      </c>
      <c r="E27" s="30">
        <f>'Q2 Data'!E29/'Q2 Data'!E28-1</f>
        <v>-6.6491974377181906E-3</v>
      </c>
      <c r="F27" s="30">
        <f>'Q2 Data'!F29/'Q2 Data'!F28-1</f>
        <v>7.7887300001338033E-3</v>
      </c>
      <c r="H27" s="31"/>
      <c r="I27" s="31"/>
      <c r="J27" s="31"/>
    </row>
    <row r="28" spans="2:10" x14ac:dyDescent="0.25">
      <c r="B28" s="5">
        <v>25</v>
      </c>
      <c r="C28" s="30">
        <f>'Q2 Data'!C30/'Q2 Data'!C29-1</f>
        <v>1.6821026950181395E-2</v>
      </c>
      <c r="D28" s="30">
        <f>'Q2 Data'!D30/'Q2 Data'!D29-1</f>
        <v>-6.1310841626371904E-2</v>
      </c>
      <c r="E28" s="30">
        <f>'Q2 Data'!E30/'Q2 Data'!E29-1</f>
        <v>-7.4690033790238086E-2</v>
      </c>
      <c r="F28" s="30">
        <f>'Q2 Data'!F30/'Q2 Data'!F29-1</f>
        <v>4.6485641898708074E-4</v>
      </c>
      <c r="H28" s="31"/>
      <c r="I28" s="31"/>
      <c r="J28" s="31"/>
    </row>
    <row r="29" spans="2:10" x14ac:dyDescent="0.25">
      <c r="B29" s="5">
        <v>26</v>
      </c>
      <c r="C29" s="30">
        <f>'Q2 Data'!C31/'Q2 Data'!C30-1</f>
        <v>-7.8658935283999809E-2</v>
      </c>
      <c r="D29" s="30">
        <f>'Q2 Data'!D31/'Q2 Data'!D30-1</f>
        <v>-4.5552524674988271E-2</v>
      </c>
      <c r="E29" s="30">
        <f>'Q2 Data'!E31/'Q2 Data'!E30-1</f>
        <v>-6.7468702049596763E-3</v>
      </c>
      <c r="F29" s="30">
        <f>'Q2 Data'!F31/'Q2 Data'!F30-1</f>
        <v>-7.963071121409615E-2</v>
      </c>
      <c r="H29" s="31"/>
      <c r="I29" s="31"/>
      <c r="J29" s="31"/>
    </row>
    <row r="30" spans="2:10" x14ac:dyDescent="0.25">
      <c r="B30" s="5">
        <v>27</v>
      </c>
      <c r="C30" s="30">
        <f>'Q2 Data'!C32/'Q2 Data'!C31-1</f>
        <v>-4.7235910432904538E-3</v>
      </c>
      <c r="D30" s="30">
        <f>'Q2 Data'!D32/'Q2 Data'!D31-1</f>
        <v>-4.4014827537296242E-2</v>
      </c>
      <c r="E30" s="30">
        <f>'Q2 Data'!E32/'Q2 Data'!E31-1</f>
        <v>-7.8862962512995516E-3</v>
      </c>
      <c r="F30" s="30">
        <f>'Q2 Data'!F32/'Q2 Data'!F31-1</f>
        <v>-3.4812875716935365E-2</v>
      </c>
      <c r="H30" s="31"/>
      <c r="I30" s="31"/>
      <c r="J30" s="31"/>
    </row>
    <row r="31" spans="2:10" x14ac:dyDescent="0.25">
      <c r="B31" s="5">
        <v>28</v>
      </c>
      <c r="C31" s="30">
        <f>'Q2 Data'!C33/'Q2 Data'!C32-1</f>
        <v>4.9069009150541021E-2</v>
      </c>
      <c r="D31" s="30">
        <f>'Q2 Data'!D33/'Q2 Data'!D32-1</f>
        <v>9.1085871440879318E-2</v>
      </c>
      <c r="E31" s="30">
        <f>'Q2 Data'!E33/'Q2 Data'!E32-1</f>
        <v>3.9864632338995731E-2</v>
      </c>
      <c r="F31" s="30">
        <f>'Q2 Data'!F33/'Q2 Data'!F32-1</f>
        <v>3.2638454792297544E-2</v>
      </c>
      <c r="H31" s="31"/>
      <c r="I31" s="31"/>
      <c r="J31" s="31"/>
    </row>
    <row r="32" spans="2:10" x14ac:dyDescent="0.25">
      <c r="B32" s="5">
        <v>29</v>
      </c>
      <c r="C32" s="30">
        <f>'Q2 Data'!C34/'Q2 Data'!C33-1</f>
        <v>-6.3982275422949098E-3</v>
      </c>
      <c r="D32" s="30">
        <f>'Q2 Data'!D34/'Q2 Data'!D33-1</f>
        <v>9.8628677760077554E-3</v>
      </c>
      <c r="E32" s="30">
        <f>'Q2 Data'!E34/'Q2 Data'!E33-1</f>
        <v>9.3404355042818299E-2</v>
      </c>
      <c r="F32" s="30">
        <f>'Q2 Data'!F34/'Q2 Data'!F33-1</f>
        <v>3.7749080148129055E-2</v>
      </c>
      <c r="H32" s="31"/>
      <c r="I32" s="31"/>
      <c r="J32" s="31"/>
    </row>
    <row r="33" spans="2:10" x14ac:dyDescent="0.25">
      <c r="B33" s="5">
        <v>30</v>
      </c>
      <c r="C33" s="30">
        <f>'Q2 Data'!C35/'Q2 Data'!C34-1</f>
        <v>5.3246880757411574E-3</v>
      </c>
      <c r="D33" s="30">
        <f>'Q2 Data'!D35/'Q2 Data'!D34-1</f>
        <v>3.6824827487101697E-2</v>
      </c>
      <c r="E33" s="30">
        <f>'Q2 Data'!E35/'Q2 Data'!E34-1</f>
        <v>3.4648598641348949E-2</v>
      </c>
      <c r="F33" s="30">
        <f>'Q2 Data'!F35/'Q2 Data'!F34-1</f>
        <v>3.4888146517298546E-2</v>
      </c>
      <c r="H33" s="31"/>
      <c r="I33" s="31"/>
      <c r="J33" s="31"/>
    </row>
    <row r="34" spans="2:10" x14ac:dyDescent="0.25">
      <c r="B34" s="5">
        <v>31</v>
      </c>
      <c r="C34" s="30">
        <f>'Q2 Data'!C36/'Q2 Data'!C35-1</f>
        <v>-7.7338348729658613E-3</v>
      </c>
      <c r="D34" s="30">
        <f>'Q2 Data'!D36/'Q2 Data'!D35-1</f>
        <v>-3.2810498622724005E-2</v>
      </c>
      <c r="E34" s="30">
        <f>'Q2 Data'!E36/'Q2 Data'!E35-1</f>
        <v>-1.1852200826652948E-2</v>
      </c>
      <c r="F34" s="30">
        <f>'Q2 Data'!F36/'Q2 Data'!F35-1</f>
        <v>-4.1944629882498363E-2</v>
      </c>
      <c r="H34" s="31"/>
      <c r="I34" s="31"/>
      <c r="J34" s="31"/>
    </row>
    <row r="35" spans="2:10" x14ac:dyDescent="0.25">
      <c r="B35" s="5">
        <v>32</v>
      </c>
      <c r="C35" s="30">
        <f>'Q2 Data'!C37/'Q2 Data'!C36-1</f>
        <v>2.5838804122416015E-2</v>
      </c>
      <c r="D35" s="30">
        <f>'Q2 Data'!D37/'Q2 Data'!D36-1</f>
        <v>-2.6792655507633434E-2</v>
      </c>
      <c r="E35" s="30">
        <f>'Q2 Data'!E37/'Q2 Data'!E36-1</f>
        <v>4.3179818371413159E-2</v>
      </c>
      <c r="F35" s="30">
        <f>'Q2 Data'!F37/'Q2 Data'!F36-1</f>
        <v>2.1252505855058335E-3</v>
      </c>
      <c r="H35" s="31"/>
      <c r="I35" s="31"/>
      <c r="J35" s="31"/>
    </row>
    <row r="36" spans="2:10" x14ac:dyDescent="0.25">
      <c r="B36" s="5">
        <v>33</v>
      </c>
      <c r="C36" s="30">
        <f>'Q2 Data'!C38/'Q2 Data'!C37-1</f>
        <v>5.4466775872922923E-2</v>
      </c>
      <c r="D36" s="30">
        <f>'Q2 Data'!D38/'Q2 Data'!D37-1</f>
        <v>7.2839171611317699E-2</v>
      </c>
      <c r="E36" s="30">
        <f>'Q2 Data'!E38/'Q2 Data'!E37-1</f>
        <v>4.69881367198699E-2</v>
      </c>
      <c r="F36" s="30">
        <f>'Q2 Data'!F38/'Q2 Data'!F37-1</f>
        <v>2.9440590649312925E-2</v>
      </c>
      <c r="H36" s="31"/>
      <c r="I36" s="31"/>
      <c r="J36" s="31"/>
    </row>
    <row r="37" spans="2:10" x14ac:dyDescent="0.25">
      <c r="B37" s="5">
        <v>34</v>
      </c>
      <c r="C37" s="30">
        <f>'Q2 Data'!C39/'Q2 Data'!C38-1</f>
        <v>2.2997539269760114E-2</v>
      </c>
      <c r="D37" s="30">
        <f>'Q2 Data'!D39/'Q2 Data'!D38-1</f>
        <v>0.10078677437406247</v>
      </c>
      <c r="E37" s="30">
        <f>'Q2 Data'!E39/'Q2 Data'!E38-1</f>
        <v>4.5027323314806411E-2</v>
      </c>
      <c r="F37" s="30">
        <f>'Q2 Data'!F39/'Q2 Data'!F38-1</f>
        <v>4.6500635231049747E-2</v>
      </c>
      <c r="H37" s="31"/>
      <c r="I37" s="31"/>
      <c r="J37" s="31"/>
    </row>
    <row r="38" spans="2:10" x14ac:dyDescent="0.25">
      <c r="B38" s="5">
        <v>35</v>
      </c>
      <c r="C38" s="30">
        <f>'Q2 Data'!C40/'Q2 Data'!C39-1</f>
        <v>4.0133767321294478E-2</v>
      </c>
      <c r="D38" s="30">
        <f>'Q2 Data'!D40/'Q2 Data'!D39-1</f>
        <v>-7.4628543220741306E-2</v>
      </c>
      <c r="E38" s="30">
        <f>'Q2 Data'!E40/'Q2 Data'!E39-1</f>
        <v>3.7955429501652871E-2</v>
      </c>
      <c r="F38" s="30">
        <f>'Q2 Data'!F40/'Q2 Data'!F39-1</f>
        <v>2.4690222700093578E-2</v>
      </c>
      <c r="H38" s="31"/>
      <c r="I38" s="31"/>
      <c r="J38" s="31"/>
    </row>
    <row r="39" spans="2:10" x14ac:dyDescent="0.25">
      <c r="B39" s="5">
        <v>36</v>
      </c>
      <c r="C39" s="30">
        <f>'Q2 Data'!C41/'Q2 Data'!C40-1</f>
        <v>7.0702399409623418E-3</v>
      </c>
      <c r="D39" s="30">
        <f>'Q2 Data'!D41/'Q2 Data'!D40-1</f>
        <v>3.754651942793652E-2</v>
      </c>
      <c r="E39" s="30">
        <f>'Q2 Data'!E41/'Q2 Data'!E40-1</f>
        <v>-1.5459020759898801E-2</v>
      </c>
      <c r="F39" s="30">
        <f>'Q2 Data'!F41/'Q2 Data'!F40-1</f>
        <v>-2.3830034638430253E-2</v>
      </c>
      <c r="H39" s="31"/>
      <c r="I39" s="31"/>
      <c r="J39" s="31"/>
    </row>
    <row r="40" spans="2:10" x14ac:dyDescent="0.25">
      <c r="B40" s="5">
        <v>37</v>
      </c>
      <c r="C40" s="30">
        <f>'Q2 Data'!C42/'Q2 Data'!C41-1</f>
        <v>2.7866771800075796E-2</v>
      </c>
      <c r="D40" s="30">
        <f>'Q2 Data'!D42/'Q2 Data'!D41-1</f>
        <v>7.7233215295712254E-2</v>
      </c>
      <c r="E40" s="30">
        <f>'Q2 Data'!E42/'Q2 Data'!E41-1</f>
        <v>-8.8371584328733599E-3</v>
      </c>
      <c r="F40" s="30">
        <f>'Q2 Data'!F42/'Q2 Data'!F41-1</f>
        <v>7.0682919958862556E-2</v>
      </c>
      <c r="H40" s="31"/>
      <c r="I40" s="31"/>
      <c r="J40" s="31"/>
    </row>
    <row r="41" spans="2:10" x14ac:dyDescent="0.25">
      <c r="B41" s="5">
        <v>38</v>
      </c>
      <c r="C41" s="30">
        <f>'Q2 Data'!C43/'Q2 Data'!C42-1</f>
        <v>9.1140554166750931E-3</v>
      </c>
      <c r="D41" s="30">
        <f>'Q2 Data'!D43/'Q2 Data'!D42-1</f>
        <v>-2.7221244387731325E-2</v>
      </c>
      <c r="E41" s="30">
        <f>'Q2 Data'!E43/'Q2 Data'!E42-1</f>
        <v>6.3516686434961223E-2</v>
      </c>
      <c r="F41" s="30">
        <f>'Q2 Data'!F43/'Q2 Data'!F42-1</f>
        <v>1.7536915061725278E-2</v>
      </c>
      <c r="H41" s="31"/>
      <c r="I41" s="31"/>
      <c r="J41" s="31"/>
    </row>
    <row r="42" spans="2:10" x14ac:dyDescent="0.25">
      <c r="B42" s="5">
        <v>39</v>
      </c>
      <c r="C42" s="30">
        <f>'Q2 Data'!C44/'Q2 Data'!C43-1</f>
        <v>2.7674012278374072E-2</v>
      </c>
      <c r="D42" s="30">
        <f>'Q2 Data'!D44/'Q2 Data'!D43-1</f>
        <v>4.4511571060749322E-2</v>
      </c>
      <c r="E42" s="30">
        <f>'Q2 Data'!E44/'Q2 Data'!E43-1</f>
        <v>4.4396141830163716E-2</v>
      </c>
      <c r="F42" s="30">
        <f>'Q2 Data'!F44/'Q2 Data'!F43-1</f>
        <v>6.4103715275701578E-2</v>
      </c>
      <c r="H42" s="31"/>
      <c r="I42" s="31"/>
      <c r="J42" s="31"/>
    </row>
    <row r="43" spans="2:10" x14ac:dyDescent="0.25">
      <c r="B43" s="5">
        <v>40</v>
      </c>
      <c r="C43" s="30">
        <f>'Q2 Data'!C45/'Q2 Data'!C44-1</f>
        <v>3.6690586190653462E-2</v>
      </c>
      <c r="D43" s="30">
        <f>'Q2 Data'!D45/'Q2 Data'!D44-1</f>
        <v>7.6679384268818485E-2</v>
      </c>
      <c r="E43" s="30">
        <f>'Q2 Data'!E45/'Q2 Data'!E44-1</f>
        <v>4.1830543001710518E-2</v>
      </c>
      <c r="F43" s="30">
        <f>'Q2 Data'!F45/'Q2 Data'!F44-1</f>
        <v>0.11018254418734696</v>
      </c>
      <c r="H43" s="31"/>
      <c r="I43" s="31"/>
      <c r="J43" s="31"/>
    </row>
    <row r="44" spans="2:10" x14ac:dyDescent="0.25">
      <c r="B44" s="5">
        <v>41</v>
      </c>
      <c r="C44" s="30">
        <f>'Q2 Data'!C46/'Q2 Data'!C45-1</f>
        <v>4.7542354527770225E-2</v>
      </c>
      <c r="D44" s="30">
        <f>'Q2 Data'!D46/'Q2 Data'!D45-1</f>
        <v>5.4737176496541418E-2</v>
      </c>
      <c r="E44" s="30">
        <f>'Q2 Data'!E46/'Q2 Data'!E45-1</f>
        <v>6.8956543071788889E-2</v>
      </c>
      <c r="F44" s="30">
        <f>'Q2 Data'!F46/'Q2 Data'!F45-1</f>
        <v>4.5263950631236671E-2</v>
      </c>
      <c r="H44" s="31"/>
      <c r="I44" s="31"/>
      <c r="J44" s="31"/>
    </row>
    <row r="45" spans="2:10" x14ac:dyDescent="0.25">
      <c r="B45" s="5">
        <v>42</v>
      </c>
      <c r="C45" s="30">
        <f>'Q2 Data'!C47/'Q2 Data'!C46-1</f>
        <v>-3.3074590358442846E-2</v>
      </c>
      <c r="D45" s="30">
        <f>'Q2 Data'!D47/'Q2 Data'!D46-1</f>
        <v>-5.1580864992791797E-2</v>
      </c>
      <c r="E45" s="30">
        <f>'Q2 Data'!E47/'Q2 Data'!E46-1</f>
        <v>-5.6109860531160072E-2</v>
      </c>
      <c r="F45" s="30">
        <f>'Q2 Data'!F47/'Q2 Data'!F46-1</f>
        <v>-4.9436075822025471E-2</v>
      </c>
      <c r="H45" s="31"/>
      <c r="I45" s="31"/>
      <c r="J45" s="31"/>
    </row>
    <row r="46" spans="2:10" x14ac:dyDescent="0.25">
      <c r="B46" s="5">
        <v>43</v>
      </c>
      <c r="C46" s="30">
        <f>'Q2 Data'!C48/'Q2 Data'!C47-1</f>
        <v>6.7270722028633267E-2</v>
      </c>
      <c r="D46" s="30">
        <f>'Q2 Data'!D48/'Q2 Data'!D47-1</f>
        <v>4.9033052125398768E-2</v>
      </c>
      <c r="E46" s="30">
        <f>'Q2 Data'!E48/'Q2 Data'!E47-1</f>
        <v>-1.2474820706049439E-2</v>
      </c>
      <c r="F46" s="30">
        <f>'Q2 Data'!F48/'Q2 Data'!F47-1</f>
        <v>7.3120440685482846E-2</v>
      </c>
      <c r="H46" s="31"/>
      <c r="I46" s="31"/>
      <c r="J46" s="31"/>
    </row>
    <row r="47" spans="2:10" x14ac:dyDescent="0.25">
      <c r="B47" s="5">
        <v>44</v>
      </c>
      <c r="C47" s="30">
        <f>'Q2 Data'!C49/'Q2 Data'!C48-1</f>
        <v>9.4236766306883268E-3</v>
      </c>
      <c r="D47" s="30">
        <f>'Q2 Data'!D49/'Q2 Data'!D48-1</f>
        <v>1.1441268852611541E-2</v>
      </c>
      <c r="E47" s="30">
        <f>'Q2 Data'!E49/'Q2 Data'!E48-1</f>
        <v>6.1699198958523604E-2</v>
      </c>
      <c r="F47" s="30">
        <f>'Q2 Data'!F49/'Q2 Data'!F48-1</f>
        <v>-1.3093085573059327E-3</v>
      </c>
      <c r="H47" s="31"/>
      <c r="I47" s="31"/>
      <c r="J47" s="31"/>
    </row>
    <row r="48" spans="2:10" x14ac:dyDescent="0.25">
      <c r="B48" s="5">
        <v>45</v>
      </c>
      <c r="C48" s="30">
        <f>'Q2 Data'!C50/'Q2 Data'!C49-1</f>
        <v>-1.660079104781631E-2</v>
      </c>
      <c r="D48" s="30">
        <f>'Q2 Data'!D50/'Q2 Data'!D49-1</f>
        <v>1.5507467568744326E-2</v>
      </c>
      <c r="E48" s="30">
        <f>'Q2 Data'!E50/'Q2 Data'!E49-1</f>
        <v>4.2421361578821593E-3</v>
      </c>
      <c r="F48" s="30">
        <f>'Q2 Data'!F50/'Q2 Data'!F49-1</f>
        <v>-3.7741670353992229E-2</v>
      </c>
      <c r="H48" s="31"/>
      <c r="I48" s="31"/>
      <c r="J48" s="31"/>
    </row>
    <row r="49" spans="2:10" x14ac:dyDescent="0.25">
      <c r="B49" s="5">
        <v>46</v>
      </c>
      <c r="C49" s="30">
        <f>'Q2 Data'!C51/'Q2 Data'!C50-1</f>
        <v>1.3202256506244403E-2</v>
      </c>
      <c r="D49" s="30">
        <f>'Q2 Data'!D51/'Q2 Data'!D50-1</f>
        <v>4.054552937917455E-2</v>
      </c>
      <c r="E49" s="30">
        <f>'Q2 Data'!E51/'Q2 Data'!E50-1</f>
        <v>3.152347122000787E-2</v>
      </c>
      <c r="F49" s="30">
        <f>'Q2 Data'!F51/'Q2 Data'!F50-1</f>
        <v>5.13358645457902E-2</v>
      </c>
      <c r="H49" s="31"/>
      <c r="I49" s="31"/>
      <c r="J49" s="31"/>
    </row>
    <row r="50" spans="2:10" x14ac:dyDescent="0.25">
      <c r="B50" s="5">
        <v>47</v>
      </c>
      <c r="C50" s="30">
        <f>'Q2 Data'!C52/'Q2 Data'!C51-1</f>
        <v>6.0553461444563972E-2</v>
      </c>
      <c r="D50" s="30">
        <f>'Q2 Data'!D52/'Q2 Data'!D51-1</f>
        <v>2.2105669253673854E-2</v>
      </c>
      <c r="E50" s="30">
        <f>'Q2 Data'!E52/'Q2 Data'!E51-1</f>
        <v>4.6667515563393325E-2</v>
      </c>
      <c r="F50" s="30">
        <f>'Q2 Data'!F52/'Q2 Data'!F51-1</f>
        <v>8.1093333666565126E-2</v>
      </c>
      <c r="H50" s="31"/>
      <c r="I50" s="31"/>
      <c r="J50" s="31"/>
    </row>
    <row r="52" spans="2:10" x14ac:dyDescent="0.25">
      <c r="H52" s="32"/>
      <c r="I52" s="32"/>
      <c r="J52" s="32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C2FC-3822-45D9-89DC-96A89C6BF0E1}">
  <sheetPr>
    <tabColor theme="7" tint="0.79998168889431442"/>
  </sheetPr>
  <dimension ref="B2:E4"/>
  <sheetViews>
    <sheetView workbookViewId="0"/>
  </sheetViews>
  <sheetFormatPr defaultRowHeight="15" x14ac:dyDescent="0.25"/>
  <cols>
    <col min="3" max="3" width="23.140625" customWidth="1"/>
    <col min="4" max="6" width="19.28515625" bestFit="1" customWidth="1"/>
  </cols>
  <sheetData>
    <row r="2" spans="2:5" x14ac:dyDescent="0.25">
      <c r="B2" t="s">
        <v>91</v>
      </c>
      <c r="C2" t="s">
        <v>148</v>
      </c>
      <c r="D2" s="33">
        <f>AVERAGE('2i'!F4:F50)</f>
        <v>2.953619362128786E-2</v>
      </c>
      <c r="E2" s="34" t="s">
        <v>0</v>
      </c>
    </row>
    <row r="4" spans="2:5" x14ac:dyDescent="0.25">
      <c r="B4" t="s">
        <v>96</v>
      </c>
      <c r="C4" t="s">
        <v>149</v>
      </c>
      <c r="D4" s="33">
        <f>_xlfn.VAR.P('2i'!$F$4:$F$50)</f>
        <v>1.9990681968670102E-3</v>
      </c>
      <c r="E4" s="34" t="s"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30D6-BB4C-4148-AD60-0DC7758C61E2}">
  <sheetPr>
    <tabColor theme="7" tint="0.79998168889431442"/>
  </sheetPr>
  <dimension ref="B2:G56"/>
  <sheetViews>
    <sheetView zoomScaleNormal="100" workbookViewId="0"/>
  </sheetViews>
  <sheetFormatPr defaultRowHeight="15" x14ac:dyDescent="0.25"/>
  <cols>
    <col min="3" max="3" width="23.140625" customWidth="1"/>
    <col min="4" max="6" width="19.28515625" bestFit="1" customWidth="1"/>
  </cols>
  <sheetData>
    <row r="2" spans="2:7" x14ac:dyDescent="0.25">
      <c r="B2" t="s">
        <v>91</v>
      </c>
      <c r="D2" t="s">
        <v>144</v>
      </c>
      <c r="E2" t="s">
        <v>145</v>
      </c>
      <c r="F2" t="s">
        <v>146</v>
      </c>
    </row>
    <row r="3" spans="2:7" x14ac:dyDescent="0.25">
      <c r="C3" t="s">
        <v>150</v>
      </c>
      <c r="D3" s="35">
        <f>_xlfn.COVARIANCE.P('2i'!C4:C50,'2i'!$F$4:$F$50)</f>
        <v>1.0432098245226227E-3</v>
      </c>
      <c r="E3" s="35">
        <f>_xlfn.COVARIANCE.P('2i'!D4:D50,'2i'!$F$4:$F$50)</f>
        <v>1.5227395841944044E-3</v>
      </c>
      <c r="F3" s="35">
        <f>_xlfn.COVARIANCE.P('2i'!E4:E50,'2i'!$F$4:$F$50)</f>
        <v>1.0963705992300245E-3</v>
      </c>
      <c r="G3" s="34" t="s">
        <v>1</v>
      </c>
    </row>
    <row r="4" spans="2:7" x14ac:dyDescent="0.25">
      <c r="D4" s="36"/>
      <c r="E4" s="36"/>
      <c r="F4" s="36"/>
      <c r="G4" s="1"/>
    </row>
    <row r="5" spans="2:7" x14ac:dyDescent="0.25">
      <c r="C5" t="s">
        <v>43</v>
      </c>
      <c r="D5" s="37">
        <f>D3/'2ii'!$D$4</f>
        <v>0.52184804208158941</v>
      </c>
      <c r="E5" s="37">
        <f>E3/'2ii'!$D$4</f>
        <v>0.76172468081923372</v>
      </c>
      <c r="F5" s="37">
        <f>F3/'2ii'!$D$4</f>
        <v>0.54844081905173814</v>
      </c>
      <c r="G5" s="8" t="s">
        <v>151</v>
      </c>
    </row>
    <row r="7" spans="2:7" x14ac:dyDescent="0.25">
      <c r="B7" t="s">
        <v>96</v>
      </c>
      <c r="D7" t="s">
        <v>144</v>
      </c>
      <c r="E7" t="s">
        <v>145</v>
      </c>
      <c r="F7" t="s">
        <v>146</v>
      </c>
    </row>
    <row r="8" spans="2:7" x14ac:dyDescent="0.25">
      <c r="C8" t="s">
        <v>44</v>
      </c>
      <c r="D8" s="37">
        <f>AVERAGE(D10:D56)</f>
        <v>5.4183946351417612E-3</v>
      </c>
      <c r="E8" s="37">
        <f t="shared" ref="E8:F8" si="0">AVERAGE(E10:E56)</f>
        <v>1.5278565640610286E-2</v>
      </c>
      <c r="F8" s="37">
        <f t="shared" si="0"/>
        <v>1.0678448880840815E-2</v>
      </c>
      <c r="G8" s="8" t="s">
        <v>1</v>
      </c>
    </row>
    <row r="9" spans="2:7" x14ac:dyDescent="0.25">
      <c r="D9" s="32"/>
      <c r="E9" s="32"/>
      <c r="F9" s="32"/>
    </row>
    <row r="10" spans="2:7" ht="18" x14ac:dyDescent="0.35">
      <c r="C10" t="s">
        <v>152</v>
      </c>
      <c r="D10" s="31">
        <f>'2i'!C4-'2i'!$F4*D$5</f>
        <v>5.5174840541016859E-2</v>
      </c>
      <c r="E10" s="31">
        <f>'2i'!D4-'2i'!$F4*E$5</f>
        <v>9.3602197338129356E-2</v>
      </c>
      <c r="F10" s="31">
        <f>'2i'!E4-'2i'!$F4*F$5</f>
        <v>-3.9228818724772782E-2</v>
      </c>
      <c r="G10" s="8" t="s">
        <v>151</v>
      </c>
    </row>
    <row r="11" spans="2:7" x14ac:dyDescent="0.25">
      <c r="D11" s="31">
        <f>'2i'!C5-'2i'!$F5*D$5</f>
        <v>-5.0678204551518405E-3</v>
      </c>
      <c r="E11" s="31">
        <f>'2i'!D5-'2i'!$F5*E$5</f>
        <v>1.1772546548407259E-2</v>
      </c>
      <c r="F11" s="31">
        <f>'2i'!E5-'2i'!$F5*F$5</f>
        <v>2.944806756909597E-2</v>
      </c>
    </row>
    <row r="12" spans="2:7" x14ac:dyDescent="0.25">
      <c r="D12" s="31">
        <f>'2i'!C6-'2i'!$F6*D$5</f>
        <v>1.5707273776041655E-2</v>
      </c>
      <c r="E12" s="31">
        <f>'2i'!D6-'2i'!$F6*E$5</f>
        <v>5.2984872244237993E-2</v>
      </c>
      <c r="F12" s="31">
        <f>'2i'!E6-'2i'!$F6*F$5</f>
        <v>1.559700922373169E-2</v>
      </c>
    </row>
    <row r="13" spans="2:7" x14ac:dyDescent="0.25">
      <c r="D13" s="31">
        <f>'2i'!C7-'2i'!$F7*D$5</f>
        <v>2.4577515601284589E-2</v>
      </c>
      <c r="E13" s="31">
        <f>'2i'!D7-'2i'!$F7*E$5</f>
        <v>-3.4593778069821716E-2</v>
      </c>
      <c r="F13" s="31">
        <f>'2i'!E7-'2i'!$F7*F$5</f>
        <v>4.9115190205301341E-2</v>
      </c>
    </row>
    <row r="14" spans="2:7" x14ac:dyDescent="0.25">
      <c r="D14" s="31">
        <f>'2i'!C8-'2i'!$F8*D$5</f>
        <v>2.190507076572773E-2</v>
      </c>
      <c r="E14" s="31">
        <f>'2i'!D8-'2i'!$F8*E$5</f>
        <v>7.8020418182196544E-2</v>
      </c>
      <c r="F14" s="31">
        <f>'2i'!E8-'2i'!$F8*F$5</f>
        <v>-3.4427541369906611E-3</v>
      </c>
    </row>
    <row r="15" spans="2:7" x14ac:dyDescent="0.25">
      <c r="D15" s="31">
        <f>'2i'!C9-'2i'!$F9*D$5</f>
        <v>-1.7115135288667774E-2</v>
      </c>
      <c r="E15" s="31">
        <f>'2i'!D9-'2i'!$F9*E$5</f>
        <v>9.900180342188758E-3</v>
      </c>
      <c r="F15" s="31">
        <f>'2i'!E9-'2i'!$F9*F$5</f>
        <v>1.9292530605797997E-2</v>
      </c>
    </row>
    <row r="16" spans="2:7" x14ac:dyDescent="0.25">
      <c r="D16" s="31">
        <f>'2i'!C10-'2i'!$F10*D$5</f>
        <v>4.2650033533371892E-3</v>
      </c>
      <c r="E16" s="31">
        <f>'2i'!D10-'2i'!$F10*E$5</f>
        <v>-4.8517456494393228E-3</v>
      </c>
      <c r="F16" s="31">
        <f>'2i'!E10-'2i'!$F10*F$5</f>
        <v>3.5972054190896281E-2</v>
      </c>
    </row>
    <row r="17" spans="4:6" x14ac:dyDescent="0.25">
      <c r="D17" s="31">
        <f>'2i'!C11-'2i'!$F11*D$5</f>
        <v>5.154162467878378E-2</v>
      </c>
      <c r="E17" s="31">
        <f>'2i'!D11-'2i'!$F11*E$5</f>
        <v>2.3650202923697738E-2</v>
      </c>
      <c r="F17" s="31">
        <f>'2i'!E11-'2i'!$F11*F$5</f>
        <v>1.2707503707254722E-3</v>
      </c>
    </row>
    <row r="18" spans="4:6" x14ac:dyDescent="0.25">
      <c r="D18" s="31">
        <f>'2i'!C12-'2i'!$F12*D$5</f>
        <v>2.8411806329926299E-2</v>
      </c>
      <c r="E18" s="31">
        <f>'2i'!D12-'2i'!$F12*E$5</f>
        <v>5.304276527326772E-2</v>
      </c>
      <c r="F18" s="31">
        <f>'2i'!E12-'2i'!$F12*F$5</f>
        <v>-5.1971762683054853E-2</v>
      </c>
    </row>
    <row r="19" spans="4:6" x14ac:dyDescent="0.25">
      <c r="D19" s="31">
        <f>'2i'!C13-'2i'!$F13*D$5</f>
        <v>-2.1513584689812126E-2</v>
      </c>
      <c r="E19" s="31">
        <f>'2i'!D13-'2i'!$F13*E$5</f>
        <v>2.4118770315523494E-2</v>
      </c>
      <c r="F19" s="31">
        <f>'2i'!E13-'2i'!$F13*F$5</f>
        <v>6.638111825790406E-3</v>
      </c>
    </row>
    <row r="20" spans="4:6" x14ac:dyDescent="0.25">
      <c r="D20" s="31">
        <f>'2i'!C14-'2i'!$F14*D$5</f>
        <v>4.8129025978814986E-3</v>
      </c>
      <c r="E20" s="31">
        <f>'2i'!D14-'2i'!$F14*E$5</f>
        <v>-1.4907174965852171E-2</v>
      </c>
      <c r="F20" s="31">
        <f>'2i'!E14-'2i'!$F14*F$5</f>
        <v>3.0526745232078392E-2</v>
      </c>
    </row>
    <row r="21" spans="4:6" x14ac:dyDescent="0.25">
      <c r="D21" s="31">
        <f>'2i'!C15-'2i'!$F15*D$5</f>
        <v>9.0838545798004634E-3</v>
      </c>
      <c r="E21" s="31">
        <f>'2i'!D15-'2i'!$F15*E$5</f>
        <v>-4.829337708766563E-2</v>
      </c>
      <c r="F21" s="31">
        <f>'2i'!E15-'2i'!$F15*F$5</f>
        <v>-2.4055456490538925E-2</v>
      </c>
    </row>
    <row r="22" spans="4:6" x14ac:dyDescent="0.25">
      <c r="D22" s="31">
        <f>'2i'!C16-'2i'!$F16*D$5</f>
        <v>-1.4961251420999508E-2</v>
      </c>
      <c r="E22" s="31">
        <f>'2i'!D16-'2i'!$F16*E$5</f>
        <v>4.4016510234823558E-2</v>
      </c>
      <c r="F22" s="31">
        <f>'2i'!E16-'2i'!$F16*F$5</f>
        <v>-3.3572428715922253E-4</v>
      </c>
    </row>
    <row r="23" spans="4:6" x14ac:dyDescent="0.25">
      <c r="D23" s="31">
        <f>'2i'!C17-'2i'!$F17*D$5</f>
        <v>-6.9747606605874424E-3</v>
      </c>
      <c r="E23" s="31">
        <f>'2i'!D17-'2i'!$F17*E$5</f>
        <v>3.2503473615403636E-2</v>
      </c>
      <c r="F23" s="31">
        <f>'2i'!E17-'2i'!$F17*F$5</f>
        <v>3.7705226414145872E-2</v>
      </c>
    </row>
    <row r="24" spans="4:6" x14ac:dyDescent="0.25">
      <c r="D24" s="31">
        <f>'2i'!C18-'2i'!$F18*D$5</f>
        <v>-3.6639747189436911E-2</v>
      </c>
      <c r="E24" s="31">
        <f>'2i'!D18-'2i'!$F18*E$5</f>
        <v>3.7118819341813734E-2</v>
      </c>
      <c r="F24" s="31">
        <f>'2i'!E18-'2i'!$F18*F$5</f>
        <v>-1.5771708900280124E-2</v>
      </c>
    </row>
    <row r="25" spans="4:6" x14ac:dyDescent="0.25">
      <c r="D25" s="31">
        <f>'2i'!C19-'2i'!$F19*D$5</f>
        <v>-2.8734118491805453E-2</v>
      </c>
      <c r="E25" s="31">
        <f>'2i'!D19-'2i'!$F19*E$5</f>
        <v>5.9787773543363495E-2</v>
      </c>
      <c r="F25" s="31">
        <f>'2i'!E19-'2i'!$F19*F$5</f>
        <v>-3.8328453531996133E-2</v>
      </c>
    </row>
    <row r="26" spans="4:6" x14ac:dyDescent="0.25">
      <c r="D26" s="31">
        <f>'2i'!C20-'2i'!$F20*D$5</f>
        <v>1.6477105010909404E-2</v>
      </c>
      <c r="E26" s="31">
        <f>'2i'!D20-'2i'!$F20*E$5</f>
        <v>-5.4652933936928175E-3</v>
      </c>
      <c r="F26" s="31">
        <f>'2i'!E20-'2i'!$F20*F$5</f>
        <v>6.8162271966507232E-2</v>
      </c>
    </row>
    <row r="27" spans="4:6" x14ac:dyDescent="0.25">
      <c r="D27" s="31">
        <f>'2i'!C21-'2i'!$F21*D$5</f>
        <v>-6.2776000107566815E-3</v>
      </c>
      <c r="E27" s="31">
        <f>'2i'!D21-'2i'!$F21*E$5</f>
        <v>1.4331415069155057E-2</v>
      </c>
      <c r="F27" s="31">
        <f>'2i'!E21-'2i'!$F21*F$5</f>
        <v>2.6203180827494073E-2</v>
      </c>
    </row>
    <row r="28" spans="4:6" x14ac:dyDescent="0.25">
      <c r="D28" s="31">
        <f>'2i'!C22-'2i'!$F22*D$5</f>
        <v>5.3847421899548761E-3</v>
      </c>
      <c r="E28" s="31">
        <f>'2i'!D22-'2i'!$F22*E$5</f>
        <v>-7.9139102268203712E-3</v>
      </c>
      <c r="F28" s="31">
        <f>'2i'!E22-'2i'!$F22*F$5</f>
        <v>5.6398467611256949E-2</v>
      </c>
    </row>
    <row r="29" spans="4:6" x14ac:dyDescent="0.25">
      <c r="D29" s="31">
        <f>'2i'!C23-'2i'!$F23*D$5</f>
        <v>-2.8307961445470826E-3</v>
      </c>
      <c r="E29" s="31">
        <f>'2i'!D23-'2i'!$F23*E$5</f>
        <v>7.054159534444962E-2</v>
      </c>
      <c r="F29" s="31">
        <f>'2i'!E23-'2i'!$F23*F$5</f>
        <v>8.2482179129939381E-2</v>
      </c>
    </row>
    <row r="30" spans="4:6" x14ac:dyDescent="0.25">
      <c r="D30" s="31">
        <f>'2i'!C24-'2i'!$F24*D$5</f>
        <v>-2.9638443742219363E-2</v>
      </c>
      <c r="E30" s="31">
        <f>'2i'!D24-'2i'!$F24*E$5</f>
        <v>4.9847593314059788E-2</v>
      </c>
      <c r="F30" s="31">
        <f>'2i'!E24-'2i'!$F24*F$5</f>
        <v>-1.5682051696211018E-2</v>
      </c>
    </row>
    <row r="31" spans="4:6" x14ac:dyDescent="0.25">
      <c r="D31" s="31">
        <f>'2i'!C25-'2i'!$F25*D$5</f>
        <v>4.3324320133743849E-2</v>
      </c>
      <c r="E31" s="31">
        <f>'2i'!D25-'2i'!$F25*E$5</f>
        <v>5.1828590514844813E-2</v>
      </c>
      <c r="F31" s="31">
        <f>'2i'!E25-'2i'!$F25*F$5</f>
        <v>-4.2524407492347885E-2</v>
      </c>
    </row>
    <row r="32" spans="4:6" x14ac:dyDescent="0.25">
      <c r="D32" s="31">
        <f>'2i'!C26-'2i'!$F26*D$5</f>
        <v>8.1701608291940737E-3</v>
      </c>
      <c r="E32" s="31">
        <f>'2i'!D26-'2i'!$F26*E$5</f>
        <v>1.4521620754852423E-2</v>
      </c>
      <c r="F32" s="31">
        <f>'2i'!E26-'2i'!$F26*F$5</f>
        <v>2.3997941583482871E-2</v>
      </c>
    </row>
    <row r="33" spans="4:6" x14ac:dyDescent="0.25">
      <c r="D33" s="31">
        <f>'2i'!C27-'2i'!$F27*D$5</f>
        <v>-1.8327827562533974E-3</v>
      </c>
      <c r="E33" s="31">
        <f>'2i'!D27-'2i'!$F27*E$5</f>
        <v>8.0846453965524381E-2</v>
      </c>
      <c r="F33" s="31">
        <f>'2i'!E27-'2i'!$F27*F$5</f>
        <v>-1.0920854898364418E-2</v>
      </c>
    </row>
    <row r="34" spans="4:6" x14ac:dyDescent="0.25">
      <c r="D34" s="31">
        <f>'2i'!C28-'2i'!$F28*D$5</f>
        <v>1.6578442538083927E-2</v>
      </c>
      <c r="E34" s="31">
        <f>'2i'!D28-'2i'!$F28*E$5</f>
        <v>-6.1664934233751613E-2</v>
      </c>
      <c r="F34" s="31">
        <f>'2i'!E28-'2i'!$F28*F$5</f>
        <v>-7.4944980025408822E-2</v>
      </c>
    </row>
    <row r="35" spans="4:6" x14ac:dyDescent="0.25">
      <c r="D35" s="31">
        <f>'2i'!C29-'2i'!$F29*D$5</f>
        <v>-3.7103804547359266E-2</v>
      </c>
      <c r="E35" s="31">
        <f>'2i'!D29-'2i'!$F29*E$5</f>
        <v>1.5104153407977695E-2</v>
      </c>
      <c r="F35" s="31">
        <f>'2i'!E29-'2i'!$F29*F$5</f>
        <v>3.6925862274971646E-2</v>
      </c>
    </row>
    <row r="36" spans="4:6" x14ac:dyDescent="0.25">
      <c r="D36" s="31">
        <f>'2i'!C30-'2i'!$F30*D$5</f>
        <v>1.3443439988821974E-2</v>
      </c>
      <c r="E36" s="31">
        <f>'2i'!D30-'2i'!$F30*E$5</f>
        <v>-1.7497000893413998E-2</v>
      </c>
      <c r="F36" s="31">
        <f>'2i'!E30-'2i'!$F30*F$5</f>
        <v>1.1206505820442844E-2</v>
      </c>
    </row>
    <row r="37" spans="4:6" x14ac:dyDescent="0.25">
      <c r="D37" s="31">
        <f>'2i'!C31-'2i'!$F31*D$5</f>
        <v>3.2036695420612077E-2</v>
      </c>
      <c r="E37" s="31">
        <f>'2i'!D31-'2i'!$F31*E$5</f>
        <v>6.6224354881783479E-2</v>
      </c>
      <c r="F37" s="31">
        <f>'2i'!E31-'2i'!$F31*F$5</f>
        <v>2.1964371460124938E-2</v>
      </c>
    </row>
    <row r="38" spans="4:6" x14ac:dyDescent="0.25">
      <c r="D38" s="31">
        <f>'2i'!C32-'2i'!$F32*D$5</f>
        <v>-2.6097511107977051E-2</v>
      </c>
      <c r="E38" s="31">
        <f>'2i'!D32-'2i'!$F32*E$5</f>
        <v>-1.8891538251045521E-2</v>
      </c>
      <c r="F38" s="31">
        <f>'2i'!E32-'2i'!$F32*F$5</f>
        <v>7.2701218607928692E-2</v>
      </c>
    </row>
    <row r="39" spans="4:6" x14ac:dyDescent="0.25">
      <c r="D39" s="31">
        <f>'2i'!C33-'2i'!$F33*D$5</f>
        <v>-1.2881622876166711E-2</v>
      </c>
      <c r="E39" s="31">
        <f>'2i'!D33-'2i'!$F33*E$5</f>
        <v>1.0249665216837803E-2</v>
      </c>
      <c r="F39" s="31">
        <f>'2i'!E33-'2i'!$F33*F$5</f>
        <v>1.5514514990204689E-2</v>
      </c>
    </row>
    <row r="40" spans="4:6" x14ac:dyDescent="0.25">
      <c r="D40" s="31">
        <f>'2i'!C34-'2i'!$F34*D$5</f>
        <v>1.4154888107052836E-2</v>
      </c>
      <c r="E40" s="31">
        <f>'2i'!D34-'2i'!$F34*E$5</f>
        <v>-8.6023881339704344E-4</v>
      </c>
      <c r="F40" s="31">
        <f>'2i'!E34-'2i'!$F34*F$5</f>
        <v>1.1151946340926467E-2</v>
      </c>
    </row>
    <row r="41" spans="4:6" x14ac:dyDescent="0.25">
      <c r="D41" s="31">
        <f>'2i'!C35-'2i'!$F35*D$5</f>
        <v>2.4729746265437044E-2</v>
      </c>
      <c r="E41" s="31">
        <f>'2i'!D35-'2i'!$F35*E$5</f>
        <v>-2.8411511331538755E-2</v>
      </c>
      <c r="F41" s="31">
        <f>'2i'!E35-'2i'!$F35*F$5</f>
        <v>4.2014244199608156E-2</v>
      </c>
    </row>
    <row r="42" spans="4:6" x14ac:dyDescent="0.25">
      <c r="D42" s="31">
        <f>'2i'!C36-'2i'!$F36*D$5</f>
        <v>3.9103261284853426E-2</v>
      </c>
      <c r="E42" s="31">
        <f>'2i'!D36-'2i'!$F36*E$5</f>
        <v>5.0413547095840089E-2</v>
      </c>
      <c r="F42" s="31">
        <f>'2i'!E36-'2i'!$F36*F$5</f>
        <v>3.0841715070793776E-2</v>
      </c>
    </row>
    <row r="43" spans="4:6" x14ac:dyDescent="0.25">
      <c r="D43" s="31">
        <f>'2i'!C37-'2i'!$F37*D$5</f>
        <v>-1.2687261811133721E-3</v>
      </c>
      <c r="E43" s="31">
        <f>'2i'!D37-'2i'!$F37*E$5</f>
        <v>6.5366092844799495E-2</v>
      </c>
      <c r="F43" s="31">
        <f>'2i'!E37-'2i'!$F37*F$5</f>
        <v>1.9524476842263376E-2</v>
      </c>
    </row>
    <row r="44" spans="4:6" x14ac:dyDescent="0.25">
      <c r="D44" s="31">
        <f>'2i'!C38-'2i'!$F38*D$5</f>
        <v>2.7249222946692228E-2</v>
      </c>
      <c r="E44" s="31">
        <f>'2i'!D38-'2i'!$F38*E$5</f>
        <v>-9.3435695226325888E-2</v>
      </c>
      <c r="F44" s="31">
        <f>'2i'!E38-'2i'!$F38*F$5</f>
        <v>2.4414303541443732E-2</v>
      </c>
    </row>
    <row r="45" spans="4:6" x14ac:dyDescent="0.25">
      <c r="D45" s="31">
        <f>'2i'!C39-'2i'!$F39*D$5</f>
        <v>1.9505896859763627E-2</v>
      </c>
      <c r="E45" s="31">
        <f>'2i'!D39-'2i'!$F39*E$5</f>
        <v>5.5698444956806092E-2</v>
      </c>
      <c r="F45" s="31">
        <f>'2i'!E39-'2i'!$F39*F$5</f>
        <v>-2.3896570447668221E-3</v>
      </c>
    </row>
    <row r="46" spans="4:6" x14ac:dyDescent="0.25">
      <c r="D46" s="31">
        <f>'2i'!C40-'2i'!$F40*D$5</f>
        <v>-9.0189715890663241E-3</v>
      </c>
      <c r="E46" s="31">
        <f>'2i'!D40-'2i'!$F40*E$5</f>
        <v>2.3392290650676231E-2</v>
      </c>
      <c r="F46" s="31">
        <f>'2i'!E40-'2i'!$F40*F$5</f>
        <v>-4.7602556948080389E-2</v>
      </c>
    </row>
    <row r="47" spans="4:6" x14ac:dyDescent="0.25">
      <c r="D47" s="31">
        <f>'2i'!C41-'2i'!$F41*D$5</f>
        <v>-3.7549372437379117E-5</v>
      </c>
      <c r="E47" s="31">
        <f>'2i'!D41-'2i'!$F41*E$5</f>
        <v>-4.0579545415678028E-2</v>
      </c>
      <c r="F47" s="31">
        <f>'2i'!E41-'2i'!$F41*F$5</f>
        <v>5.3898726374867846E-2</v>
      </c>
    </row>
    <row r="48" spans="4:6" x14ac:dyDescent="0.25">
      <c r="D48" s="31">
        <f>'2i'!C42-'2i'!$F42*D$5</f>
        <v>-5.778386028406475E-3</v>
      </c>
      <c r="E48" s="31">
        <f>'2i'!D42-'2i'!$F42*E$5</f>
        <v>-4.3178109969614978E-3</v>
      </c>
      <c r="F48" s="31">
        <f>'2i'!E42-'2i'!$F42*F$5</f>
        <v>9.2390477200985227E-3</v>
      </c>
    </row>
    <row r="49" spans="4:6" x14ac:dyDescent="0.25">
      <c r="D49" s="31">
        <f>'2i'!C43-'2i'!$F43*D$5</f>
        <v>-2.0807958765081763E-2</v>
      </c>
      <c r="E49" s="31">
        <f>'2i'!D43-'2i'!$F43*E$5</f>
        <v>-7.249379034139497E-3</v>
      </c>
      <c r="F49" s="31">
        <f>'2i'!E43-'2i'!$F43*F$5</f>
        <v>-1.8598061777602377E-2</v>
      </c>
    </row>
    <row r="50" spans="4:6" x14ac:dyDescent="0.25">
      <c r="D50" s="31">
        <f>'2i'!C44-'2i'!$F44*D$5</f>
        <v>2.3921450513981646E-2</v>
      </c>
      <c r="E50" s="31">
        <f>'2i'!D44-'2i'!$F44*E$5</f>
        <v>2.0258508149345114E-2</v>
      </c>
      <c r="F50" s="31">
        <f>'2i'!E44-'2i'!$F44*F$5</f>
        <v>4.4131944914076009E-2</v>
      </c>
    </row>
    <row r="51" spans="4:6" x14ac:dyDescent="0.25">
      <c r="D51" s="31">
        <f>'2i'!C45-'2i'!$F45*D$5</f>
        <v>-7.2764709825218522E-3</v>
      </c>
      <c r="E51" s="31">
        <f>'2i'!D45-'2i'!$F45*E$5</f>
        <v>-1.392418591630401E-2</v>
      </c>
      <c r="F51" s="31">
        <f>'2i'!E45-'2i'!$F45*F$5</f>
        <v>-2.8997098616624594E-2</v>
      </c>
    </row>
    <row r="52" spans="4:6" x14ac:dyDescent="0.25">
      <c r="D52" s="31">
        <f>'2i'!C46-'2i'!$F46*D$5</f>
        <v>2.9112963220771053E-2</v>
      </c>
      <c r="E52" s="31">
        <f>'2i'!D46-'2i'!$F46*E$5</f>
        <v>-6.6645922171123667E-3</v>
      </c>
      <c r="F52" s="31">
        <f>'2i'!E46-'2i'!$F46*F$5</f>
        <v>-5.257705508501969E-2</v>
      </c>
    </row>
    <row r="53" spans="4:6" x14ac:dyDescent="0.25">
      <c r="D53" s="31">
        <f>'2i'!C47-'2i'!$F47*D$5</f>
        <v>1.0106936737799098E-2</v>
      </c>
      <c r="E53" s="31">
        <f>'2i'!D47-'2i'!$F47*E$5</f>
        <v>1.2438601495519295E-2</v>
      </c>
      <c r="F53" s="31">
        <f>'2i'!E47-'2i'!$F47*F$5</f>
        <v>6.2417277216083922E-2</v>
      </c>
    </row>
    <row r="54" spans="4:6" x14ac:dyDescent="0.25">
      <c r="D54" s="31">
        <f>'2i'!C48-'2i'!$F48*D$5</f>
        <v>3.0946257313033028E-3</v>
      </c>
      <c r="E54" s="31">
        <f>'2i'!D48-'2i'!$F48*E$5</f>
        <v>4.425622937272379E-2</v>
      </c>
      <c r="F54" s="31">
        <f>'2i'!E48-'2i'!$F48*F$5</f>
        <v>2.494120875920636E-2</v>
      </c>
    </row>
    <row r="55" spans="4:6" x14ac:dyDescent="0.25">
      <c r="D55" s="31">
        <f>'2i'!C49-'2i'!$F49*D$5</f>
        <v>-1.3587263895541896E-2</v>
      </c>
      <c r="E55" s="31">
        <f>'2i'!D49-'2i'!$F49*E$5</f>
        <v>1.4417343434530924E-3</v>
      </c>
      <c r="F55" s="31">
        <f>'2i'!E49-'2i'!$F49*F$5</f>
        <v>3.3687876217856072E-3</v>
      </c>
    </row>
    <row r="56" spans="4:6" x14ac:dyDescent="0.25">
      <c r="D56" s="31">
        <f>'2i'!C50-'2i'!$F50*D$5</f>
        <v>1.8235064044797925E-2</v>
      </c>
      <c r="E56" s="31">
        <f>'2i'!D50-'2i'!$F50*E$5</f>
        <v>-3.9665124450058084E-2</v>
      </c>
      <c r="F56" s="31">
        <f>'2i'!E50-'2i'!$F50*F$5</f>
        <v>2.1926212276664539E-3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C05C-CF4D-434A-9542-9E10CA29D1F5}">
  <sheetPr>
    <tabColor theme="7" tint="0.79998168889431442"/>
  </sheetPr>
  <dimension ref="B2:G15"/>
  <sheetViews>
    <sheetView workbookViewId="0"/>
  </sheetViews>
  <sheetFormatPr defaultRowHeight="15" x14ac:dyDescent="0.25"/>
  <cols>
    <col min="3" max="6" width="15" customWidth="1"/>
  </cols>
  <sheetData>
    <row r="2" spans="2:7" x14ac:dyDescent="0.25">
      <c r="B2" t="s">
        <v>91</v>
      </c>
      <c r="C2" s="10"/>
      <c r="D2" t="s">
        <v>144</v>
      </c>
      <c r="E2" t="s">
        <v>145</v>
      </c>
      <c r="F2" t="s">
        <v>146</v>
      </c>
    </row>
    <row r="3" spans="2:7" x14ac:dyDescent="0.25">
      <c r="C3" t="s">
        <v>43</v>
      </c>
      <c r="D3" s="35">
        <f>'2iii'!D5</f>
        <v>0.52184804208158941</v>
      </c>
      <c r="E3" s="35">
        <f>'2iii'!E5</f>
        <v>0.76172468081923372</v>
      </c>
      <c r="F3" s="35">
        <f>'2iii'!F5</f>
        <v>0.54844081905173814</v>
      </c>
    </row>
    <row r="4" spans="2:7" x14ac:dyDescent="0.25">
      <c r="C4" t="s">
        <v>153</v>
      </c>
      <c r="D4" s="30">
        <f>D3^2*'2ii'!$D$4</f>
        <v>5.4439700440740907E-4</v>
      </c>
      <c r="E4" s="30">
        <f>E3^2*'2ii'!$D$4</f>
        <v>1.1599083237412953E-3</v>
      </c>
      <c r="F4" s="30">
        <f>F3^2*'2ii'!$D$4</f>
        <v>6.0129438942595952E-4</v>
      </c>
      <c r="G4" s="8" t="s">
        <v>154</v>
      </c>
    </row>
    <row r="7" spans="2:7" x14ac:dyDescent="0.25">
      <c r="B7" t="s">
        <v>96</v>
      </c>
      <c r="C7" s="10"/>
      <c r="D7" t="s">
        <v>144</v>
      </c>
      <c r="E7" t="s">
        <v>145</v>
      </c>
      <c r="F7" t="s">
        <v>146</v>
      </c>
    </row>
    <row r="8" spans="2:7" x14ac:dyDescent="0.25">
      <c r="C8" t="s">
        <v>155</v>
      </c>
      <c r="D8" s="30">
        <f>'Q2 Data'!H5^2</f>
        <v>6.561E-3</v>
      </c>
      <c r="E8" s="30">
        <f>'Q2 Data'!I5^2</f>
        <v>4.7523999999999997E-2</v>
      </c>
      <c r="F8" s="30">
        <f>'Q2 Data'!J5^2</f>
        <v>1.4884E-2</v>
      </c>
      <c r="G8" s="8" t="s">
        <v>154</v>
      </c>
    </row>
    <row r="11" spans="2:7" x14ac:dyDescent="0.25">
      <c r="B11" t="s">
        <v>139</v>
      </c>
      <c r="C11" s="10"/>
      <c r="D11" t="s">
        <v>144</v>
      </c>
      <c r="E11" t="s">
        <v>145</v>
      </c>
      <c r="F11" t="s">
        <v>146</v>
      </c>
    </row>
    <row r="12" spans="2:7" x14ac:dyDescent="0.25">
      <c r="C12" t="s">
        <v>156</v>
      </c>
      <c r="D12" s="30">
        <f>D4+D8</f>
        <v>7.1053970044074087E-3</v>
      </c>
      <c r="E12" s="30">
        <f t="shared" ref="E12:F12" si="0">E4+E8</f>
        <v>4.8683908323741296E-2</v>
      </c>
      <c r="F12" s="30">
        <f t="shared" si="0"/>
        <v>1.5485294389425959E-2</v>
      </c>
      <c r="G12" s="8" t="s">
        <v>0</v>
      </c>
    </row>
    <row r="14" spans="2:7" x14ac:dyDescent="0.25">
      <c r="B14" t="s">
        <v>157</v>
      </c>
      <c r="C14" s="10"/>
      <c r="D14" t="s">
        <v>144</v>
      </c>
      <c r="E14" t="s">
        <v>145</v>
      </c>
      <c r="F14" t="s">
        <v>146</v>
      </c>
    </row>
    <row r="15" spans="2:7" x14ac:dyDescent="0.25">
      <c r="C15" t="s">
        <v>158</v>
      </c>
      <c r="D15" s="30">
        <f>'2iii'!D8+'2iii'!D5*'2ii'!$D$2</f>
        <v>2.0831799446953563E-2</v>
      </c>
      <c r="E15" s="30">
        <f>'2iii'!E8+'2iii'!E5*'2ii'!$D$2</f>
        <v>3.777701329940087E-2</v>
      </c>
      <c r="F15" s="30">
        <f>'2iii'!F8+'2iii'!F5*'2ii'!$D$2</f>
        <v>2.6877303102170652E-2</v>
      </c>
      <c r="G15" s="8" t="s">
        <v>154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3AB20-0E22-4721-89D3-70114A4A4F44}">
  <sheetPr>
    <tabColor theme="7" tint="0.79998168889431442"/>
  </sheetPr>
  <dimension ref="B2:M13"/>
  <sheetViews>
    <sheetView workbookViewId="0"/>
  </sheetViews>
  <sheetFormatPr defaultRowHeight="15" x14ac:dyDescent="0.25"/>
  <cols>
    <col min="2" max="2" width="12.7109375" bestFit="1" customWidth="1"/>
    <col min="11" max="11" width="9.140625" customWidth="1"/>
  </cols>
  <sheetData>
    <row r="2" spans="2:13" x14ac:dyDescent="0.25">
      <c r="B2" t="s">
        <v>2</v>
      </c>
    </row>
    <row r="3" spans="2:13" x14ac:dyDescent="0.25">
      <c r="B3" s="6" t="s">
        <v>159</v>
      </c>
      <c r="C3" s="6"/>
      <c r="D3" s="6"/>
      <c r="E3" s="6"/>
      <c r="F3" s="6"/>
      <c r="G3" s="6"/>
      <c r="H3" s="6"/>
      <c r="I3" s="6"/>
      <c r="J3" s="6"/>
      <c r="K3" s="6"/>
      <c r="L3" s="6"/>
      <c r="M3" s="8" t="s">
        <v>0</v>
      </c>
    </row>
    <row r="4" spans="2:13" x14ac:dyDescent="0.25">
      <c r="B4" s="6" t="s">
        <v>160</v>
      </c>
      <c r="C4" s="6"/>
      <c r="D4" s="6"/>
      <c r="E4" s="6"/>
      <c r="F4" s="6"/>
      <c r="G4" s="6"/>
      <c r="H4" s="6"/>
      <c r="I4" s="6"/>
      <c r="J4" s="6"/>
      <c r="K4" s="6"/>
      <c r="L4" s="6"/>
      <c r="M4" s="8" t="s">
        <v>0</v>
      </c>
    </row>
    <row r="5" spans="2:13" x14ac:dyDescent="0.25">
      <c r="B5" s="6" t="s">
        <v>181</v>
      </c>
      <c r="C5" s="6"/>
      <c r="D5" s="6"/>
      <c r="E5" s="6"/>
      <c r="F5" s="6"/>
      <c r="G5" s="6"/>
      <c r="H5" s="6"/>
      <c r="I5" s="6"/>
      <c r="J5" s="6"/>
      <c r="K5" s="6"/>
      <c r="L5" s="6"/>
      <c r="M5" s="8" t="s">
        <v>0</v>
      </c>
    </row>
    <row r="6" spans="2:13" x14ac:dyDescent="0.25">
      <c r="B6" s="6" t="s">
        <v>161</v>
      </c>
      <c r="C6" s="6"/>
      <c r="D6" s="6"/>
      <c r="E6" s="6"/>
      <c r="F6" s="6"/>
      <c r="G6" s="6"/>
      <c r="H6" s="6"/>
      <c r="I6" s="6"/>
      <c r="J6" s="6"/>
      <c r="K6" s="6"/>
      <c r="L6" s="6"/>
      <c r="M6" s="8" t="s">
        <v>0</v>
      </c>
    </row>
    <row r="7" spans="2:13" x14ac:dyDescent="0.25">
      <c r="B7" s="6" t="s">
        <v>162</v>
      </c>
      <c r="C7" s="6"/>
      <c r="D7" s="6"/>
      <c r="E7" s="6"/>
      <c r="F7" s="6"/>
      <c r="G7" s="6"/>
      <c r="H7" s="6"/>
      <c r="I7" s="6"/>
      <c r="J7" s="6"/>
      <c r="K7" s="6"/>
      <c r="L7" s="6"/>
      <c r="M7" s="8" t="s">
        <v>0</v>
      </c>
    </row>
    <row r="8" spans="2:13" x14ac:dyDescent="0.25">
      <c r="B8" s="6" t="s">
        <v>163</v>
      </c>
      <c r="C8" s="6"/>
      <c r="D8" s="6"/>
      <c r="E8" s="6"/>
      <c r="F8" s="6"/>
      <c r="G8" s="6"/>
      <c r="H8" s="6"/>
      <c r="I8" s="6"/>
      <c r="J8" s="6"/>
      <c r="K8" s="6"/>
      <c r="L8" s="6"/>
      <c r="M8" s="8" t="s">
        <v>0</v>
      </c>
    </row>
    <row r="9" spans="2:13" x14ac:dyDescent="0.25">
      <c r="B9" s="6" t="s">
        <v>164</v>
      </c>
      <c r="C9" s="6"/>
      <c r="D9" s="6"/>
      <c r="E9" s="6"/>
      <c r="F9" s="6"/>
      <c r="G9" s="6"/>
      <c r="H9" s="6"/>
      <c r="I9" s="6"/>
      <c r="J9" s="6"/>
      <c r="K9" s="6"/>
      <c r="L9" s="6"/>
      <c r="M9" s="8" t="s">
        <v>0</v>
      </c>
    </row>
    <row r="10" spans="2:13" x14ac:dyDescent="0.2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2:13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2:13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8" t="s">
        <v>182</v>
      </c>
    </row>
    <row r="13" spans="2:13" x14ac:dyDescent="0.25">
      <c r="B13" s="2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CD259-A13C-40E7-8AC1-77960B4426DF}">
  <sheetPr>
    <tabColor theme="7" tint="0.79998168889431442"/>
  </sheetPr>
  <dimension ref="B2:H24"/>
  <sheetViews>
    <sheetView workbookViewId="0"/>
  </sheetViews>
  <sheetFormatPr defaultRowHeight="15" x14ac:dyDescent="0.25"/>
  <cols>
    <col min="3" max="3" width="19.28515625" customWidth="1"/>
    <col min="4" max="6" width="15.7109375" customWidth="1"/>
  </cols>
  <sheetData>
    <row r="2" spans="3:8" ht="18" x14ac:dyDescent="0.35">
      <c r="C2" s="38" t="s">
        <v>165</v>
      </c>
      <c r="D2" s="31">
        <f>'2ii'!D2</f>
        <v>2.953619362128786E-2</v>
      </c>
    </row>
    <row r="3" spans="3:8" ht="18" x14ac:dyDescent="0.35">
      <c r="C3" t="s">
        <v>166</v>
      </c>
      <c r="D3" s="31">
        <f>'2ii'!D4</f>
        <v>1.9990681968670102E-3</v>
      </c>
    </row>
    <row r="4" spans="3:8" x14ac:dyDescent="0.25">
      <c r="C4" t="s">
        <v>167</v>
      </c>
      <c r="D4" s="31">
        <v>2.5000000000000001E-2</v>
      </c>
    </row>
    <row r="6" spans="3:8" x14ac:dyDescent="0.25">
      <c r="D6" t="s">
        <v>144</v>
      </c>
      <c r="E6" t="s">
        <v>145</v>
      </c>
      <c r="F6" t="s">
        <v>146</v>
      </c>
    </row>
    <row r="7" spans="3:8" x14ac:dyDescent="0.25">
      <c r="C7" t="s">
        <v>44</v>
      </c>
      <c r="D7" s="31">
        <f>'2iii'!D8</f>
        <v>5.4183946351417612E-3</v>
      </c>
      <c r="E7" s="39">
        <f>'2iii'!E8</f>
        <v>1.5278565640610286E-2</v>
      </c>
      <c r="F7" s="31">
        <f>'2iii'!F8</f>
        <v>1.0678448880840815E-2</v>
      </c>
    </row>
    <row r="8" spans="3:8" x14ac:dyDescent="0.25">
      <c r="C8" t="s">
        <v>43</v>
      </c>
      <c r="D8" s="31">
        <f>'2iii'!D5</f>
        <v>0.52184804208158941</v>
      </c>
      <c r="E8" s="39">
        <f>'2iii'!E5</f>
        <v>0.76172468081923372</v>
      </c>
      <c r="F8" s="31">
        <f>'2iii'!F5</f>
        <v>0.54844081905173814</v>
      </c>
    </row>
    <row r="9" spans="3:8" ht="18" x14ac:dyDescent="0.35">
      <c r="C9" t="s">
        <v>168</v>
      </c>
      <c r="D9" s="31">
        <f>'Q2 Data'!H5^2</f>
        <v>6.561E-3</v>
      </c>
      <c r="E9" s="39">
        <f>'Q2 Data'!I5^2</f>
        <v>4.7523999999999997E-2</v>
      </c>
      <c r="F9" s="31">
        <f>'Q2 Data'!J5^2</f>
        <v>1.4884E-2</v>
      </c>
    </row>
    <row r="10" spans="3:8" x14ac:dyDescent="0.25">
      <c r="C10" t="s">
        <v>158</v>
      </c>
      <c r="D10" s="31">
        <f>'2iv'!D15</f>
        <v>2.0831799446953563E-2</v>
      </c>
      <c r="E10" s="39">
        <f>'2iv'!E15</f>
        <v>3.777701329940087E-2</v>
      </c>
      <c r="F10" s="31">
        <f>'2iv'!F15</f>
        <v>2.6877303102170652E-2</v>
      </c>
    </row>
    <row r="11" spans="3:8" x14ac:dyDescent="0.25">
      <c r="C11" t="s">
        <v>40</v>
      </c>
      <c r="D11" s="31">
        <f>D8^2*$D$3+D9</f>
        <v>7.1053970044074087E-3</v>
      </c>
      <c r="E11" s="39">
        <f>E8^2*$D$3+E9</f>
        <v>4.8683908323741296E-2</v>
      </c>
      <c r="F11" s="31">
        <f>F8^2*$D$3+F9</f>
        <v>1.5485294389425959E-2</v>
      </c>
      <c r="G11" s="8" t="s">
        <v>1</v>
      </c>
      <c r="H11" t="s">
        <v>169</v>
      </c>
    </row>
    <row r="12" spans="3:8" x14ac:dyDescent="0.25">
      <c r="C12" t="s">
        <v>170</v>
      </c>
      <c r="D12" s="14">
        <f>(F10-D4)/(F10-D10)</f>
        <v>0.31052881765286738</v>
      </c>
      <c r="E12" s="40">
        <v>0</v>
      </c>
      <c r="F12" s="14">
        <f>100%-D12</f>
        <v>0.68947118234713267</v>
      </c>
    </row>
    <row r="14" spans="3:8" ht="18" x14ac:dyDescent="0.35">
      <c r="C14" t="s">
        <v>171</v>
      </c>
      <c r="D14" s="31">
        <f>D8*F8*D3</f>
        <v>5.7213885060400718E-4</v>
      </c>
      <c r="E14" s="8" t="s">
        <v>0</v>
      </c>
      <c r="F14" s="24"/>
    </row>
    <row r="15" spans="3:8" ht="18" x14ac:dyDescent="0.35">
      <c r="C15" t="s">
        <v>172</v>
      </c>
      <c r="D15" s="31">
        <f>SUMPRODUCT(D10:F10,D12:F12)</f>
        <v>2.5000000000000001E-2</v>
      </c>
    </row>
    <row r="16" spans="3:8" ht="18" x14ac:dyDescent="0.35">
      <c r="C16" t="s">
        <v>173</v>
      </c>
      <c r="D16" s="43">
        <f>D12^2*D11+F12^2*F11+2*D12*F12*D14</f>
        <v>8.2914031989827705E-3</v>
      </c>
    </row>
    <row r="18" spans="2:5" x14ac:dyDescent="0.25">
      <c r="B18" t="s">
        <v>91</v>
      </c>
      <c r="C18" t="s">
        <v>174</v>
      </c>
    </row>
    <row r="19" spans="2:5" x14ac:dyDescent="0.25">
      <c r="D19" s="41" t="s">
        <v>175</v>
      </c>
    </row>
    <row r="20" spans="2:5" x14ac:dyDescent="0.25">
      <c r="C20" t="s">
        <v>144</v>
      </c>
      <c r="D20" s="26">
        <f>D22*D12</f>
        <v>31.052881765286738</v>
      </c>
      <c r="E20" s="8" t="s">
        <v>0</v>
      </c>
    </row>
    <row r="21" spans="2:5" x14ac:dyDescent="0.25">
      <c r="C21" t="s">
        <v>146</v>
      </c>
      <c r="D21" s="26">
        <f>D22*F12</f>
        <v>68.947118234713272</v>
      </c>
      <c r="E21" s="8" t="s">
        <v>0</v>
      </c>
    </row>
    <row r="22" spans="2:5" x14ac:dyDescent="0.25">
      <c r="D22">
        <v>100</v>
      </c>
    </row>
    <row r="24" spans="2:5" ht="18" x14ac:dyDescent="0.35">
      <c r="B24" t="s">
        <v>96</v>
      </c>
      <c r="C24" t="s">
        <v>173</v>
      </c>
      <c r="D24" s="42">
        <f>D16</f>
        <v>8.2914031989827705E-3</v>
      </c>
      <c r="E24" s="8" t="s">
        <v>154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EAA37-936E-4A2E-B0C3-F602A7E170D3}">
  <sheetPr>
    <tabColor theme="7" tint="0.79998168889431442"/>
  </sheetPr>
  <dimension ref="B2:M11"/>
  <sheetViews>
    <sheetView workbookViewId="0"/>
  </sheetViews>
  <sheetFormatPr defaultRowHeight="15" x14ac:dyDescent="0.25"/>
  <cols>
    <col min="2" max="2" width="12.7109375" bestFit="1" customWidth="1"/>
  </cols>
  <sheetData>
    <row r="2" spans="2:13" x14ac:dyDescent="0.25">
      <c r="B2" t="s">
        <v>2</v>
      </c>
    </row>
    <row r="3" spans="2:13" x14ac:dyDescent="0.25">
      <c r="B3" s="6" t="s">
        <v>176</v>
      </c>
      <c r="C3" s="6"/>
      <c r="D3" s="6"/>
      <c r="E3" s="6"/>
      <c r="F3" s="6"/>
      <c r="G3" s="6"/>
      <c r="H3" s="6"/>
      <c r="I3" s="6"/>
      <c r="J3" s="6"/>
      <c r="K3" s="6"/>
      <c r="L3" s="6"/>
      <c r="M3" s="8" t="s">
        <v>0</v>
      </c>
    </row>
    <row r="4" spans="2:13" x14ac:dyDescent="0.25">
      <c r="B4" s="6" t="s">
        <v>177</v>
      </c>
      <c r="C4" s="6"/>
      <c r="D4" s="6"/>
      <c r="E4" s="6"/>
      <c r="F4" s="6"/>
      <c r="G4" s="6"/>
      <c r="H4" s="6"/>
      <c r="I4" s="6"/>
      <c r="J4" s="6"/>
      <c r="K4" s="6"/>
      <c r="L4" s="6"/>
      <c r="M4" s="8" t="s">
        <v>0</v>
      </c>
    </row>
    <row r="5" spans="2:13" x14ac:dyDescent="0.25">
      <c r="B5" s="6" t="s">
        <v>178</v>
      </c>
      <c r="C5" s="6"/>
      <c r="D5" s="6"/>
      <c r="E5" s="6"/>
      <c r="F5" s="6"/>
      <c r="G5" s="6"/>
      <c r="H5" s="6"/>
      <c r="I5" s="6"/>
      <c r="J5" s="6"/>
      <c r="K5" s="6"/>
      <c r="L5" s="6"/>
      <c r="M5" s="8" t="s">
        <v>0</v>
      </c>
    </row>
    <row r="6" spans="2:13" x14ac:dyDescent="0.25">
      <c r="B6" s="6" t="s">
        <v>179</v>
      </c>
      <c r="C6" s="6"/>
      <c r="D6" s="6"/>
      <c r="E6" s="6"/>
      <c r="F6" s="6"/>
      <c r="G6" s="6"/>
      <c r="H6" s="6"/>
      <c r="I6" s="6"/>
      <c r="J6" s="6"/>
      <c r="K6" s="6"/>
      <c r="L6" s="6"/>
      <c r="M6" s="8" t="s">
        <v>0</v>
      </c>
    </row>
    <row r="7" spans="2:13" x14ac:dyDescent="0.25">
      <c r="B7" s="6" t="s">
        <v>180</v>
      </c>
      <c r="C7" s="6"/>
      <c r="D7" s="6"/>
      <c r="E7" s="6"/>
      <c r="F7" s="6"/>
      <c r="G7" s="6"/>
      <c r="H7" s="6"/>
      <c r="I7" s="6"/>
      <c r="J7" s="6"/>
      <c r="K7" s="6"/>
      <c r="L7" s="6"/>
      <c r="M7" s="8" t="s">
        <v>0</v>
      </c>
    </row>
    <row r="8" spans="2:13" x14ac:dyDescent="0.25"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2:13" x14ac:dyDescent="0.25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8" t="s">
        <v>42</v>
      </c>
    </row>
    <row r="10" spans="2:13" x14ac:dyDescent="0.2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2:13" x14ac:dyDescent="0.25">
      <c r="B11" s="2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D64A-5BE6-4066-87E3-8EEA69E83AA9}">
  <sheetPr>
    <tabColor theme="9" tint="0.79998168889431442"/>
  </sheetPr>
  <dimension ref="B2:C20"/>
  <sheetViews>
    <sheetView workbookViewId="0"/>
  </sheetViews>
  <sheetFormatPr defaultRowHeight="15" x14ac:dyDescent="0.25"/>
  <cols>
    <col min="2" max="2" width="17.42578125" customWidth="1"/>
    <col min="3" max="3" width="11.5703125" customWidth="1"/>
  </cols>
  <sheetData>
    <row r="2" spans="2:3" x14ac:dyDescent="0.25">
      <c r="B2" s="10" t="s">
        <v>4</v>
      </c>
    </row>
    <row r="3" spans="2:3" x14ac:dyDescent="0.25">
      <c r="B3" s="10"/>
    </row>
    <row r="4" spans="2:3" x14ac:dyDescent="0.25">
      <c r="B4" s="11" t="s">
        <v>24</v>
      </c>
      <c r="C4">
        <v>1.145</v>
      </c>
    </row>
    <row r="5" spans="2:3" x14ac:dyDescent="0.25">
      <c r="B5" t="s">
        <v>23</v>
      </c>
      <c r="C5">
        <v>50</v>
      </c>
    </row>
    <row r="6" spans="2:3" x14ac:dyDescent="0.25">
      <c r="B6" s="10"/>
    </row>
    <row r="7" spans="2:3" x14ac:dyDescent="0.25">
      <c r="B7" s="10" t="s">
        <v>37</v>
      </c>
    </row>
    <row r="8" spans="2:3" x14ac:dyDescent="0.25">
      <c r="B8" s="10"/>
    </row>
    <row r="9" spans="2:3" x14ac:dyDescent="0.25">
      <c r="B9" s="4" t="s">
        <v>31</v>
      </c>
      <c r="C9" s="3" t="s">
        <v>30</v>
      </c>
    </row>
    <row r="10" spans="2:3" x14ac:dyDescent="0.25">
      <c r="B10" s="5">
        <v>0</v>
      </c>
      <c r="C10" s="12">
        <f>_xlfn.POISSON.DIST(B10,$C$4,FALSE)</f>
        <v>0.31822391779041909</v>
      </c>
    </row>
    <row r="11" spans="2:3" x14ac:dyDescent="0.25">
      <c r="B11" s="5">
        <f t="shared" ref="B11:B20" si="0">B10+1</f>
        <v>1</v>
      </c>
      <c r="C11" s="12">
        <f t="shared" ref="C11:C20" si="1">_xlfn.POISSON.DIST(B11,$C$4,FALSE)</f>
        <v>0.36436638587002984</v>
      </c>
    </row>
    <row r="12" spans="2:3" x14ac:dyDescent="0.25">
      <c r="B12" s="5">
        <f t="shared" si="0"/>
        <v>2</v>
      </c>
      <c r="C12" s="12">
        <f t="shared" si="1"/>
        <v>0.2085997559105921</v>
      </c>
    </row>
    <row r="13" spans="2:3" x14ac:dyDescent="0.25">
      <c r="B13" s="5">
        <f t="shared" si="0"/>
        <v>3</v>
      </c>
      <c r="C13" s="12">
        <f t="shared" si="1"/>
        <v>7.9615573505876003E-2</v>
      </c>
    </row>
    <row r="14" spans="2:3" x14ac:dyDescent="0.25">
      <c r="B14" s="5">
        <f t="shared" si="0"/>
        <v>4</v>
      </c>
      <c r="C14" s="12">
        <f t="shared" si="1"/>
        <v>2.2789957916057008E-2</v>
      </c>
    </row>
    <row r="15" spans="2:3" x14ac:dyDescent="0.25">
      <c r="B15" s="5">
        <f t="shared" si="0"/>
        <v>5</v>
      </c>
      <c r="C15" s="12">
        <f t="shared" si="1"/>
        <v>5.2189003627770526E-3</v>
      </c>
    </row>
    <row r="16" spans="2:3" x14ac:dyDescent="0.25">
      <c r="B16" s="5">
        <f t="shared" si="0"/>
        <v>6</v>
      </c>
      <c r="C16" s="12">
        <f t="shared" si="1"/>
        <v>9.9594015256328737E-4</v>
      </c>
    </row>
    <row r="17" spans="2:3" x14ac:dyDescent="0.25">
      <c r="B17" s="5">
        <f t="shared" si="0"/>
        <v>7</v>
      </c>
      <c r="C17" s="12">
        <f t="shared" si="1"/>
        <v>1.6290735352642361E-4</v>
      </c>
    </row>
    <row r="18" spans="2:3" x14ac:dyDescent="0.25">
      <c r="B18" s="5">
        <f t="shared" si="0"/>
        <v>8</v>
      </c>
      <c r="C18" s="12">
        <f t="shared" si="1"/>
        <v>2.3316114973469369E-5</v>
      </c>
    </row>
    <row r="19" spans="2:3" x14ac:dyDescent="0.25">
      <c r="B19" s="5">
        <f t="shared" si="0"/>
        <v>9</v>
      </c>
      <c r="C19" s="12">
        <f t="shared" si="1"/>
        <v>2.9663279605135985E-6</v>
      </c>
    </row>
    <row r="20" spans="2:3" x14ac:dyDescent="0.25">
      <c r="B20" s="5">
        <f t="shared" si="0"/>
        <v>10</v>
      </c>
      <c r="C20" s="12">
        <f t="shared" si="1"/>
        <v>3.3964455147880722E-7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9414-B8F7-4B6D-A3BA-F85DC18B32DC}">
  <sheetPr>
    <tabColor theme="9" tint="0.79998168889431442"/>
  </sheetPr>
  <dimension ref="A2:H38"/>
  <sheetViews>
    <sheetView workbookViewId="0"/>
  </sheetViews>
  <sheetFormatPr defaultRowHeight="15" x14ac:dyDescent="0.25"/>
  <cols>
    <col min="2" max="2" width="19.7109375" customWidth="1"/>
    <col min="3" max="3" width="14.140625" customWidth="1"/>
    <col min="4" max="4" width="13.85546875" customWidth="1"/>
    <col min="5" max="5" width="18.140625" bestFit="1" customWidth="1"/>
  </cols>
  <sheetData>
    <row r="2" spans="2:5" x14ac:dyDescent="0.25">
      <c r="B2" s="10" t="s">
        <v>25</v>
      </c>
    </row>
    <row r="3" spans="2:5" x14ac:dyDescent="0.25">
      <c r="B3" t="s">
        <v>22</v>
      </c>
      <c r="C3" s="15">
        <v>16000</v>
      </c>
    </row>
    <row r="4" spans="2:5" x14ac:dyDescent="0.25">
      <c r="B4" t="s">
        <v>21</v>
      </c>
      <c r="C4" s="15">
        <v>1000</v>
      </c>
    </row>
    <row r="6" spans="2:5" x14ac:dyDescent="0.25">
      <c r="B6" s="10" t="s">
        <v>4</v>
      </c>
    </row>
    <row r="7" spans="2:5" x14ac:dyDescent="0.25">
      <c r="B7" s="11" t="s">
        <v>24</v>
      </c>
      <c r="C7">
        <v>1.145</v>
      </c>
    </row>
    <row r="8" spans="2:5" x14ac:dyDescent="0.25">
      <c r="B8" t="s">
        <v>23</v>
      </c>
      <c r="C8">
        <v>50</v>
      </c>
    </row>
    <row r="10" spans="2:5" x14ac:dyDescent="0.25">
      <c r="D10" s="8" t="s">
        <v>0</v>
      </c>
      <c r="E10" s="8" t="s">
        <v>0</v>
      </c>
    </row>
    <row r="11" spans="2:5" x14ac:dyDescent="0.25">
      <c r="B11" t="s">
        <v>31</v>
      </c>
      <c r="C11" t="s">
        <v>30</v>
      </c>
      <c r="D11" t="s">
        <v>50</v>
      </c>
      <c r="E11" t="s">
        <v>28</v>
      </c>
    </row>
    <row r="12" spans="2:5" x14ac:dyDescent="0.25">
      <c r="B12">
        <f>'Q3 Data'!B10</f>
        <v>0</v>
      </c>
      <c r="C12" s="12">
        <f>'Q3 Data'!C10</f>
        <v>0.31822391779041909</v>
      </c>
      <c r="D12">
        <f t="shared" ref="D12:D22" si="0">$C$8*B12</f>
        <v>0</v>
      </c>
      <c r="E12" s="2">
        <f t="shared" ref="E12:E22" si="1">D12*C12</f>
        <v>0</v>
      </c>
    </row>
    <row r="13" spans="2:5" x14ac:dyDescent="0.25">
      <c r="B13">
        <f>'Q3 Data'!B11</f>
        <v>1</v>
      </c>
      <c r="C13" s="12">
        <f>'Q3 Data'!C11</f>
        <v>0.36436638587002984</v>
      </c>
      <c r="D13">
        <f t="shared" si="0"/>
        <v>50</v>
      </c>
      <c r="E13" s="2">
        <f t="shared" si="1"/>
        <v>18.218319293501491</v>
      </c>
    </row>
    <row r="14" spans="2:5" x14ac:dyDescent="0.25">
      <c r="B14">
        <f>'Q3 Data'!B12</f>
        <v>2</v>
      </c>
      <c r="C14" s="12">
        <f>'Q3 Data'!C12</f>
        <v>0.2085997559105921</v>
      </c>
      <c r="D14">
        <f t="shared" si="0"/>
        <v>100</v>
      </c>
      <c r="E14" s="2">
        <f t="shared" si="1"/>
        <v>20.859975591059211</v>
      </c>
    </row>
    <row r="15" spans="2:5" x14ac:dyDescent="0.25">
      <c r="B15">
        <f>'Q3 Data'!B13</f>
        <v>3</v>
      </c>
      <c r="C15" s="12">
        <f>'Q3 Data'!C13</f>
        <v>7.9615573505876003E-2</v>
      </c>
      <c r="D15">
        <f t="shared" si="0"/>
        <v>150</v>
      </c>
      <c r="E15" s="2">
        <f t="shared" si="1"/>
        <v>11.942336025881401</v>
      </c>
    </row>
    <row r="16" spans="2:5" x14ac:dyDescent="0.25">
      <c r="B16">
        <f>'Q3 Data'!B14</f>
        <v>4</v>
      </c>
      <c r="C16" s="12">
        <f>'Q3 Data'!C14</f>
        <v>2.2789957916057008E-2</v>
      </c>
      <c r="D16">
        <f t="shared" si="0"/>
        <v>200</v>
      </c>
      <c r="E16" s="2">
        <f t="shared" si="1"/>
        <v>4.5579915832114013</v>
      </c>
    </row>
    <row r="17" spans="1:8" x14ac:dyDescent="0.25">
      <c r="B17">
        <f>'Q3 Data'!B15</f>
        <v>5</v>
      </c>
      <c r="C17" s="12">
        <f>'Q3 Data'!C15</f>
        <v>5.2189003627770526E-3</v>
      </c>
      <c r="D17">
        <f t="shared" si="0"/>
        <v>250</v>
      </c>
      <c r="E17" s="2">
        <f t="shared" si="1"/>
        <v>1.3047250906942631</v>
      </c>
    </row>
    <row r="18" spans="1:8" x14ac:dyDescent="0.25">
      <c r="B18">
        <f>'Q3 Data'!B16</f>
        <v>6</v>
      </c>
      <c r="C18" s="12">
        <f>'Q3 Data'!C16</f>
        <v>9.9594015256328737E-4</v>
      </c>
      <c r="D18">
        <f t="shared" si="0"/>
        <v>300</v>
      </c>
      <c r="E18" s="2">
        <f t="shared" si="1"/>
        <v>0.2987820457689862</v>
      </c>
    </row>
    <row r="19" spans="1:8" x14ac:dyDescent="0.25">
      <c r="B19">
        <f>'Q3 Data'!B17</f>
        <v>7</v>
      </c>
      <c r="C19" s="12">
        <f>'Q3 Data'!C17</f>
        <v>1.6290735352642361E-4</v>
      </c>
      <c r="D19">
        <f t="shared" si="0"/>
        <v>350</v>
      </c>
      <c r="E19" s="2">
        <f t="shared" si="1"/>
        <v>5.7017573734248261E-2</v>
      </c>
    </row>
    <row r="20" spans="1:8" x14ac:dyDescent="0.25">
      <c r="B20">
        <f>'Q3 Data'!B18</f>
        <v>8</v>
      </c>
      <c r="C20" s="12">
        <f>'Q3 Data'!C18</f>
        <v>2.3316114973469369E-5</v>
      </c>
      <c r="D20">
        <f t="shared" si="0"/>
        <v>400</v>
      </c>
      <c r="E20" s="2">
        <f t="shared" si="1"/>
        <v>9.326445989387748E-3</v>
      </c>
    </row>
    <row r="21" spans="1:8" x14ac:dyDescent="0.25">
      <c r="B21">
        <f>'Q3 Data'!B19</f>
        <v>9</v>
      </c>
      <c r="C21" s="12">
        <f>'Q3 Data'!C19</f>
        <v>2.9663279605135985E-6</v>
      </c>
      <c r="D21">
        <f t="shared" si="0"/>
        <v>450</v>
      </c>
      <c r="E21" s="2">
        <f t="shared" si="1"/>
        <v>1.3348475822311193E-3</v>
      </c>
    </row>
    <row r="22" spans="1:8" x14ac:dyDescent="0.25">
      <c r="B22">
        <f>'Q3 Data'!B20</f>
        <v>10</v>
      </c>
      <c r="C22" s="12">
        <f>'Q3 Data'!C20</f>
        <v>3.3964455147880722E-7</v>
      </c>
      <c r="D22">
        <f t="shared" si="0"/>
        <v>500</v>
      </c>
      <c r="E22" s="2">
        <f t="shared" si="1"/>
        <v>1.6982227573940362E-4</v>
      </c>
    </row>
    <row r="23" spans="1:8" x14ac:dyDescent="0.25">
      <c r="C23" t="s">
        <v>27</v>
      </c>
    </row>
    <row r="24" spans="1:8" x14ac:dyDescent="0.25">
      <c r="A24" t="s">
        <v>45</v>
      </c>
      <c r="B24" t="s">
        <v>28</v>
      </c>
      <c r="C24" s="7">
        <f>SUM(E12:E22)</f>
        <v>57.249978319698364</v>
      </c>
      <c r="D24" s="8" t="s">
        <v>0</v>
      </c>
      <c r="E24" s="24"/>
    </row>
    <row r="26" spans="1:8" x14ac:dyDescent="0.25">
      <c r="A26" t="s">
        <v>46</v>
      </c>
      <c r="B26" t="s">
        <v>2</v>
      </c>
    </row>
    <row r="27" spans="1:8" x14ac:dyDescent="0.25">
      <c r="B27" s="6" t="s">
        <v>26</v>
      </c>
      <c r="C27" s="6"/>
      <c r="D27" s="6"/>
      <c r="E27" s="6"/>
      <c r="F27" s="6"/>
      <c r="G27" s="6"/>
      <c r="H27" s="8" t="s">
        <v>0</v>
      </c>
    </row>
    <row r="28" spans="1:8" x14ac:dyDescent="0.25">
      <c r="B28" s="6" t="s">
        <v>48</v>
      </c>
      <c r="C28" s="6"/>
      <c r="D28" s="6"/>
      <c r="E28" s="6"/>
      <c r="F28" s="6"/>
      <c r="G28" s="6"/>
      <c r="H28" s="8" t="s">
        <v>0</v>
      </c>
    </row>
    <row r="29" spans="1:8" x14ac:dyDescent="0.25">
      <c r="B29" s="6" t="s">
        <v>49</v>
      </c>
      <c r="C29" s="6"/>
      <c r="D29" s="6"/>
      <c r="E29" s="6"/>
      <c r="F29" s="6"/>
      <c r="G29" s="6"/>
      <c r="H29" s="8" t="s">
        <v>0</v>
      </c>
    </row>
    <row r="30" spans="1:8" x14ac:dyDescent="0.25">
      <c r="B30" s="6"/>
      <c r="C30" s="6"/>
      <c r="D30" s="6"/>
      <c r="E30" s="6"/>
      <c r="F30" s="6"/>
      <c r="G30" s="6"/>
    </row>
    <row r="31" spans="1:8" x14ac:dyDescent="0.25">
      <c r="B31" s="6"/>
      <c r="C31" s="6"/>
      <c r="D31" s="6"/>
      <c r="E31" s="6"/>
      <c r="F31" s="6"/>
      <c r="G31" s="6"/>
      <c r="H31" s="8" t="s">
        <v>33</v>
      </c>
    </row>
    <row r="32" spans="1:8" x14ac:dyDescent="0.25">
      <c r="B32" s="6"/>
      <c r="C32" s="6"/>
      <c r="D32" s="6"/>
      <c r="E32" s="6"/>
      <c r="F32" s="6"/>
      <c r="G32" s="6"/>
    </row>
    <row r="33" spans="2:7" x14ac:dyDescent="0.25">
      <c r="B33" s="6"/>
      <c r="C33" s="6"/>
      <c r="D33" s="6"/>
      <c r="E33" s="6"/>
      <c r="F33" s="6"/>
      <c r="G33" s="6"/>
    </row>
    <row r="34" spans="2:7" x14ac:dyDescent="0.25">
      <c r="B34" s="6"/>
      <c r="C34" s="6"/>
      <c r="D34" s="6"/>
      <c r="E34" s="6"/>
      <c r="F34" s="6"/>
      <c r="G34" s="6"/>
    </row>
    <row r="35" spans="2:7" x14ac:dyDescent="0.25">
      <c r="B35" s="6"/>
      <c r="C35" s="6"/>
      <c r="D35" s="6"/>
      <c r="E35" s="6"/>
      <c r="F35" s="6"/>
      <c r="G35" s="6"/>
    </row>
    <row r="36" spans="2:7" x14ac:dyDescent="0.25">
      <c r="B36" s="6"/>
      <c r="C36" s="6"/>
      <c r="D36" s="6"/>
      <c r="E36" s="6"/>
      <c r="F36" s="6"/>
      <c r="G36" s="6"/>
    </row>
    <row r="37" spans="2:7" x14ac:dyDescent="0.25">
      <c r="B37" s="6"/>
      <c r="C37" s="6"/>
      <c r="D37" s="6"/>
      <c r="E37" s="6"/>
      <c r="F37" s="6"/>
      <c r="G37" s="6"/>
    </row>
    <row r="38" spans="2:7" x14ac:dyDescent="0.25">
      <c r="B38" s="6"/>
      <c r="C38" s="6"/>
      <c r="D38" s="6"/>
      <c r="E38" s="6"/>
      <c r="F38" s="6"/>
      <c r="G38" s="6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29B6-EDAA-4269-9437-384FE5E20F54}">
  <sheetPr>
    <tabColor theme="9" tint="0.79998168889431442"/>
  </sheetPr>
  <dimension ref="A2:I27"/>
  <sheetViews>
    <sheetView workbookViewId="0"/>
  </sheetViews>
  <sheetFormatPr defaultRowHeight="15" x14ac:dyDescent="0.25"/>
  <cols>
    <col min="2" max="2" width="32.5703125" customWidth="1"/>
    <col min="3" max="4" width="13.140625" customWidth="1"/>
    <col min="5" max="5" width="20.28515625" customWidth="1"/>
    <col min="6" max="9" width="12.7109375" customWidth="1"/>
    <col min="10" max="10" width="11.42578125" bestFit="1" customWidth="1"/>
  </cols>
  <sheetData>
    <row r="2" spans="1:9" x14ac:dyDescent="0.25">
      <c r="B2" s="10" t="s">
        <v>25</v>
      </c>
    </row>
    <row r="3" spans="1:9" x14ac:dyDescent="0.25">
      <c r="B3" t="s">
        <v>22</v>
      </c>
      <c r="C3">
        <v>16000</v>
      </c>
    </row>
    <row r="4" spans="1:9" x14ac:dyDescent="0.25">
      <c r="B4" t="s">
        <v>21</v>
      </c>
      <c r="C4">
        <v>1000</v>
      </c>
    </row>
    <row r="6" spans="1:9" x14ac:dyDescent="0.25">
      <c r="B6" s="10" t="s">
        <v>4</v>
      </c>
    </row>
    <row r="7" spans="1:9" x14ac:dyDescent="0.25">
      <c r="B7" s="11" t="s">
        <v>24</v>
      </c>
      <c r="C7">
        <v>1.145</v>
      </c>
    </row>
    <row r="8" spans="1:9" x14ac:dyDescent="0.25">
      <c r="B8" t="s">
        <v>23</v>
      </c>
      <c r="C8">
        <v>50</v>
      </c>
      <c r="G8" s="8" t="s">
        <v>0</v>
      </c>
      <c r="H8" s="8" t="s">
        <v>0</v>
      </c>
      <c r="I8" s="8" t="s">
        <v>0</v>
      </c>
    </row>
    <row r="9" spans="1:9" x14ac:dyDescent="0.25">
      <c r="A9" t="s">
        <v>45</v>
      </c>
      <c r="F9" s="53" t="s">
        <v>54</v>
      </c>
      <c r="G9" s="53"/>
      <c r="H9" s="53"/>
      <c r="I9" s="53"/>
    </row>
    <row r="10" spans="1:9" x14ac:dyDescent="0.25">
      <c r="F10" s="53" t="s">
        <v>51</v>
      </c>
      <c r="G10" s="53"/>
      <c r="H10" s="53" t="s">
        <v>32</v>
      </c>
      <c r="I10" s="53"/>
    </row>
    <row r="11" spans="1:9" x14ac:dyDescent="0.25">
      <c r="B11" t="s">
        <v>31</v>
      </c>
      <c r="C11" t="s">
        <v>30</v>
      </c>
      <c r="D11" t="s">
        <v>29</v>
      </c>
      <c r="E11" t="s">
        <v>28</v>
      </c>
      <c r="F11" t="s">
        <v>22</v>
      </c>
      <c r="G11" t="s">
        <v>21</v>
      </c>
      <c r="H11" t="s">
        <v>22</v>
      </c>
      <c r="I11" t="s">
        <v>21</v>
      </c>
    </row>
    <row r="12" spans="1:9" x14ac:dyDescent="0.25">
      <c r="B12">
        <f>'3i'!B12</f>
        <v>0</v>
      </c>
      <c r="C12" s="12">
        <f>'3i'!C12</f>
        <v>0.31822391779041909</v>
      </c>
      <c r="D12">
        <f>'3i'!D12</f>
        <v>0</v>
      </c>
      <c r="E12" s="2">
        <f>'3i'!E12</f>
        <v>0</v>
      </c>
      <c r="F12" s="15">
        <f>$C$3</f>
        <v>16000</v>
      </c>
      <c r="G12" s="15">
        <f>$C$4-D12</f>
        <v>1000</v>
      </c>
      <c r="H12" s="7">
        <f>SQRT(F12)</f>
        <v>126.49110640673517</v>
      </c>
      <c r="I12" s="7">
        <f>G12-0.0001*(G12)^2</f>
        <v>900</v>
      </c>
    </row>
    <row r="13" spans="1:9" x14ac:dyDescent="0.25">
      <c r="B13">
        <f>'3i'!B13</f>
        <v>1</v>
      </c>
      <c r="C13" s="12">
        <f>'3i'!C13</f>
        <v>0.36436638587002984</v>
      </c>
      <c r="D13">
        <f>'3i'!D13</f>
        <v>50</v>
      </c>
      <c r="E13" s="2">
        <f>'3i'!E13</f>
        <v>18.218319293501491</v>
      </c>
      <c r="F13" s="15">
        <f t="shared" ref="F13:F22" si="0">$C$3</f>
        <v>16000</v>
      </c>
      <c r="G13" s="15">
        <f t="shared" ref="G13:G22" si="1">$C$4-D13</f>
        <v>950</v>
      </c>
      <c r="H13" s="7">
        <f t="shared" ref="H13:H22" si="2">SQRT(F13)</f>
        <v>126.49110640673517</v>
      </c>
      <c r="I13" s="7">
        <f t="shared" ref="I13:I22" si="3">G13-0.0001*(G13)^2</f>
        <v>859.75</v>
      </c>
    </row>
    <row r="14" spans="1:9" x14ac:dyDescent="0.25">
      <c r="B14">
        <f>'3i'!B14</f>
        <v>2</v>
      </c>
      <c r="C14" s="12">
        <f>'3i'!C14</f>
        <v>0.2085997559105921</v>
      </c>
      <c r="D14">
        <f>'3i'!D14</f>
        <v>100</v>
      </c>
      <c r="E14" s="2">
        <f>'3i'!E14</f>
        <v>20.859975591059211</v>
      </c>
      <c r="F14" s="15">
        <f t="shared" si="0"/>
        <v>16000</v>
      </c>
      <c r="G14" s="15">
        <f t="shared" si="1"/>
        <v>900</v>
      </c>
      <c r="H14" s="7">
        <f t="shared" si="2"/>
        <v>126.49110640673517</v>
      </c>
      <c r="I14" s="7">
        <f t="shared" si="3"/>
        <v>819</v>
      </c>
    </row>
    <row r="15" spans="1:9" x14ac:dyDescent="0.25">
      <c r="B15">
        <f>'3i'!B15</f>
        <v>3</v>
      </c>
      <c r="C15" s="12">
        <f>'3i'!C15</f>
        <v>7.9615573505876003E-2</v>
      </c>
      <c r="D15">
        <f>'3i'!D15</f>
        <v>150</v>
      </c>
      <c r="E15" s="2">
        <f>'3i'!E15</f>
        <v>11.942336025881401</v>
      </c>
      <c r="F15" s="15">
        <f t="shared" si="0"/>
        <v>16000</v>
      </c>
      <c r="G15" s="15">
        <f t="shared" si="1"/>
        <v>850</v>
      </c>
      <c r="H15" s="7">
        <f t="shared" si="2"/>
        <v>126.49110640673517</v>
      </c>
      <c r="I15" s="7">
        <f t="shared" si="3"/>
        <v>777.75</v>
      </c>
    </row>
    <row r="16" spans="1:9" x14ac:dyDescent="0.25">
      <c r="B16">
        <f>'3i'!B16</f>
        <v>4</v>
      </c>
      <c r="C16" s="12">
        <f>'3i'!C16</f>
        <v>2.2789957916057008E-2</v>
      </c>
      <c r="D16">
        <f>'3i'!D16</f>
        <v>200</v>
      </c>
      <c r="E16" s="2">
        <f>'3i'!E16</f>
        <v>4.5579915832114013</v>
      </c>
      <c r="F16" s="15">
        <f t="shared" si="0"/>
        <v>16000</v>
      </c>
      <c r="G16" s="15">
        <f t="shared" si="1"/>
        <v>800</v>
      </c>
      <c r="H16" s="7">
        <f t="shared" si="2"/>
        <v>126.49110640673517</v>
      </c>
      <c r="I16" s="7">
        <f t="shared" si="3"/>
        <v>736</v>
      </c>
    </row>
    <row r="17" spans="1:9" x14ac:dyDescent="0.25">
      <c r="B17">
        <f>'3i'!B17</f>
        <v>5</v>
      </c>
      <c r="C17" s="12">
        <f>'3i'!C17</f>
        <v>5.2189003627770526E-3</v>
      </c>
      <c r="D17">
        <f>'3i'!D17</f>
        <v>250</v>
      </c>
      <c r="E17" s="2">
        <f>'3i'!E17</f>
        <v>1.3047250906942631</v>
      </c>
      <c r="F17" s="15">
        <f t="shared" si="0"/>
        <v>16000</v>
      </c>
      <c r="G17" s="15">
        <f t="shared" si="1"/>
        <v>750</v>
      </c>
      <c r="H17" s="7">
        <f t="shared" si="2"/>
        <v>126.49110640673517</v>
      </c>
      <c r="I17" s="7">
        <f t="shared" si="3"/>
        <v>693.75</v>
      </c>
    </row>
    <row r="18" spans="1:9" x14ac:dyDescent="0.25">
      <c r="B18">
        <f>'3i'!B18</f>
        <v>6</v>
      </c>
      <c r="C18" s="12">
        <f>'3i'!C18</f>
        <v>9.9594015256328737E-4</v>
      </c>
      <c r="D18">
        <f>'3i'!D18</f>
        <v>300</v>
      </c>
      <c r="E18" s="2">
        <f>'3i'!E18</f>
        <v>0.2987820457689862</v>
      </c>
      <c r="F18" s="15">
        <f t="shared" si="0"/>
        <v>16000</v>
      </c>
      <c r="G18" s="15">
        <f t="shared" si="1"/>
        <v>700</v>
      </c>
      <c r="H18" s="7">
        <f t="shared" si="2"/>
        <v>126.49110640673517</v>
      </c>
      <c r="I18" s="7">
        <f t="shared" si="3"/>
        <v>651</v>
      </c>
    </row>
    <row r="19" spans="1:9" x14ac:dyDescent="0.25">
      <c r="B19">
        <f>'3i'!B19</f>
        <v>7</v>
      </c>
      <c r="C19" s="12">
        <f>'3i'!C19</f>
        <v>1.6290735352642361E-4</v>
      </c>
      <c r="D19">
        <f>'3i'!D19</f>
        <v>350</v>
      </c>
      <c r="E19" s="2">
        <f>'3i'!E19</f>
        <v>5.7017573734248261E-2</v>
      </c>
      <c r="F19" s="15">
        <f t="shared" si="0"/>
        <v>16000</v>
      </c>
      <c r="G19" s="15">
        <f t="shared" si="1"/>
        <v>650</v>
      </c>
      <c r="H19" s="7">
        <f t="shared" si="2"/>
        <v>126.49110640673517</v>
      </c>
      <c r="I19" s="7">
        <f t="shared" si="3"/>
        <v>607.75</v>
      </c>
    </row>
    <row r="20" spans="1:9" x14ac:dyDescent="0.25">
      <c r="B20">
        <f>'3i'!B20</f>
        <v>8</v>
      </c>
      <c r="C20" s="12">
        <f>'3i'!C20</f>
        <v>2.3316114973469369E-5</v>
      </c>
      <c r="D20">
        <f>'3i'!D20</f>
        <v>400</v>
      </c>
      <c r="E20" s="2">
        <f>'3i'!E20</f>
        <v>9.326445989387748E-3</v>
      </c>
      <c r="F20" s="15">
        <f t="shared" si="0"/>
        <v>16000</v>
      </c>
      <c r="G20" s="15">
        <f t="shared" si="1"/>
        <v>600</v>
      </c>
      <c r="H20" s="7">
        <f t="shared" si="2"/>
        <v>126.49110640673517</v>
      </c>
      <c r="I20" s="7">
        <f t="shared" si="3"/>
        <v>564</v>
      </c>
    </row>
    <row r="21" spans="1:9" x14ac:dyDescent="0.25">
      <c r="B21">
        <f>'3i'!B21</f>
        <v>9</v>
      </c>
      <c r="C21" s="12">
        <f>'3i'!C21</f>
        <v>2.9663279605135985E-6</v>
      </c>
      <c r="D21">
        <f>'3i'!D21</f>
        <v>450</v>
      </c>
      <c r="E21" s="2">
        <f>'3i'!E21</f>
        <v>1.3348475822311193E-3</v>
      </c>
      <c r="F21" s="15">
        <f t="shared" si="0"/>
        <v>16000</v>
      </c>
      <c r="G21" s="15">
        <f t="shared" si="1"/>
        <v>550</v>
      </c>
      <c r="H21" s="7">
        <f t="shared" si="2"/>
        <v>126.49110640673517</v>
      </c>
      <c r="I21" s="7">
        <f t="shared" si="3"/>
        <v>519.75</v>
      </c>
    </row>
    <row r="22" spans="1:9" x14ac:dyDescent="0.25">
      <c r="B22">
        <f>'3i'!B22</f>
        <v>10</v>
      </c>
      <c r="C22" s="12">
        <f>'3i'!C22</f>
        <v>3.3964455147880722E-7</v>
      </c>
      <c r="D22">
        <f>'3i'!D22</f>
        <v>500</v>
      </c>
      <c r="E22" s="2">
        <f>'3i'!E22</f>
        <v>1.6982227573940362E-4</v>
      </c>
      <c r="F22" s="15">
        <f t="shared" si="0"/>
        <v>16000</v>
      </c>
      <c r="G22" s="15">
        <f t="shared" si="1"/>
        <v>500</v>
      </c>
      <c r="H22" s="7">
        <f t="shared" si="2"/>
        <v>126.49110640673517</v>
      </c>
      <c r="I22" s="7">
        <f t="shared" si="3"/>
        <v>475</v>
      </c>
    </row>
    <row r="23" spans="1:9" x14ac:dyDescent="0.25">
      <c r="C23" t="s">
        <v>27</v>
      </c>
      <c r="E23" s="1">
        <f>SUM(E12:E22)</f>
        <v>57.249978319698364</v>
      </c>
      <c r="F23" s="1"/>
      <c r="G23" s="1"/>
      <c r="H23" s="2"/>
      <c r="I23" s="2"/>
    </row>
    <row r="24" spans="1:9" x14ac:dyDescent="0.25">
      <c r="H24" s="2"/>
      <c r="I24" s="2"/>
    </row>
    <row r="25" spans="1:9" x14ac:dyDescent="0.25">
      <c r="C25" t="s">
        <v>22</v>
      </c>
      <c r="D25" t="s">
        <v>21</v>
      </c>
    </row>
    <row r="26" spans="1:9" x14ac:dyDescent="0.25">
      <c r="A26" t="s">
        <v>46</v>
      </c>
      <c r="B26" t="s">
        <v>53</v>
      </c>
      <c r="C26" s="7">
        <f>SUMPRODUCT($C$12:$C$22,H12:H22)</f>
        <v>126.49110146717226</v>
      </c>
      <c r="D26" s="7">
        <f>SUMPRODUCT($C$12:$C$22,I12:I22)</f>
        <v>853.58597715338885</v>
      </c>
    </row>
    <row r="27" spans="1:9" x14ac:dyDescent="0.25">
      <c r="C27" s="8" t="s">
        <v>0</v>
      </c>
      <c r="D27" s="8" t="s">
        <v>0</v>
      </c>
    </row>
  </sheetData>
  <mergeCells count="3">
    <mergeCell ref="F9:I9"/>
    <mergeCell ref="F10:G10"/>
    <mergeCell ref="H10:I10"/>
  </mergeCells>
  <pageMargins left="0.7" right="0.7" top="0.75" bottom="0.75" header="0.3" footer="0.3"/>
  <pageSetup paperSize="9" orientation="portrait" horizontalDpi="4294967293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12DCA-4016-4F7F-BA81-9618C265D215}">
  <sheetPr>
    <tabColor theme="9" tint="0.79998168889431442"/>
  </sheetPr>
  <dimension ref="B2:O33"/>
  <sheetViews>
    <sheetView workbookViewId="0"/>
  </sheetViews>
  <sheetFormatPr defaultRowHeight="15" x14ac:dyDescent="0.25"/>
  <cols>
    <col min="2" max="2" width="38.5703125" customWidth="1"/>
    <col min="3" max="3" width="11.5703125" customWidth="1"/>
    <col min="4" max="4" width="13.42578125" customWidth="1"/>
    <col min="5" max="5" width="20.42578125" customWidth="1"/>
    <col min="6" max="7" width="12.140625" customWidth="1"/>
    <col min="8" max="9" width="11.42578125" bestFit="1" customWidth="1"/>
    <col min="11" max="11" width="10.7109375" bestFit="1" customWidth="1"/>
    <col min="12" max="12" width="29.7109375" bestFit="1" customWidth="1"/>
    <col min="13" max="13" width="10.7109375" customWidth="1"/>
    <col min="14" max="14" width="12" bestFit="1" customWidth="1"/>
  </cols>
  <sheetData>
    <row r="2" spans="2:15" x14ac:dyDescent="0.25">
      <c r="B2" s="10" t="s">
        <v>25</v>
      </c>
    </row>
    <row r="3" spans="2:15" x14ac:dyDescent="0.25">
      <c r="B3" t="s">
        <v>22</v>
      </c>
      <c r="C3">
        <v>16000</v>
      </c>
    </row>
    <row r="4" spans="2:15" x14ac:dyDescent="0.25">
      <c r="B4" t="s">
        <v>21</v>
      </c>
      <c r="C4">
        <v>1000</v>
      </c>
    </row>
    <row r="6" spans="2:15" x14ac:dyDescent="0.25">
      <c r="B6" s="10" t="s">
        <v>4</v>
      </c>
    </row>
    <row r="7" spans="2:15" x14ac:dyDescent="0.25">
      <c r="B7" s="11" t="s">
        <v>24</v>
      </c>
      <c r="C7">
        <v>1.145</v>
      </c>
    </row>
    <row r="8" spans="2:15" x14ac:dyDescent="0.25">
      <c r="B8" t="s">
        <v>23</v>
      </c>
      <c r="C8">
        <v>50</v>
      </c>
    </row>
    <row r="9" spans="2:15" x14ac:dyDescent="0.25">
      <c r="F9" s="8" t="s">
        <v>0</v>
      </c>
      <c r="G9" s="8" t="s">
        <v>0</v>
      </c>
      <c r="H9" s="8" t="s">
        <v>0</v>
      </c>
      <c r="I9" s="8" t="s">
        <v>0</v>
      </c>
    </row>
    <row r="10" spans="2:15" x14ac:dyDescent="0.25">
      <c r="F10" s="53" t="s">
        <v>51</v>
      </c>
      <c r="G10" s="53"/>
      <c r="H10" s="53" t="s">
        <v>32</v>
      </c>
      <c r="I10" s="53"/>
    </row>
    <row r="11" spans="2:15" x14ac:dyDescent="0.25">
      <c r="B11" t="s">
        <v>31</v>
      </c>
      <c r="C11" t="s">
        <v>30</v>
      </c>
      <c r="D11" t="s">
        <v>29</v>
      </c>
      <c r="E11" t="s">
        <v>28</v>
      </c>
      <c r="F11" t="s">
        <v>22</v>
      </c>
      <c r="G11" t="s">
        <v>21</v>
      </c>
      <c r="H11" t="s">
        <v>22</v>
      </c>
      <c r="I11" t="s">
        <v>21</v>
      </c>
      <c r="O11" s="1"/>
    </row>
    <row r="12" spans="2:15" x14ac:dyDescent="0.25">
      <c r="B12">
        <f>'3i'!B12</f>
        <v>0</v>
      </c>
      <c r="C12" s="2">
        <f>'3i'!C12</f>
        <v>0.31822391779041909</v>
      </c>
      <c r="D12">
        <f>'3i'!D12</f>
        <v>0</v>
      </c>
      <c r="E12" s="2">
        <f>'3i'!E12</f>
        <v>0</v>
      </c>
      <c r="F12" s="15">
        <f t="shared" ref="F12:F22" si="0">$C$3-D12+$C$30</f>
        <v>16057.25</v>
      </c>
      <c r="G12" s="15">
        <f>$C$4-$C$33</f>
        <v>942.39700000000005</v>
      </c>
      <c r="H12" s="1">
        <f>SQRT(F12)</f>
        <v>126.71720483028341</v>
      </c>
      <c r="I12" s="1">
        <f>G12-0.0001*(G12)^2</f>
        <v>853.58578943910004</v>
      </c>
      <c r="O12" s="1"/>
    </row>
    <row r="13" spans="2:15" x14ac:dyDescent="0.25">
      <c r="B13">
        <f>'3i'!B13</f>
        <v>1</v>
      </c>
      <c r="C13" s="2">
        <f>'3i'!C13</f>
        <v>0.36436638587002984</v>
      </c>
      <c r="D13">
        <f>'3i'!D13</f>
        <v>50</v>
      </c>
      <c r="E13" s="2">
        <f>'3i'!E13</f>
        <v>18.218319293501491</v>
      </c>
      <c r="F13" s="15">
        <f t="shared" si="0"/>
        <v>16007.25</v>
      </c>
      <c r="G13" s="15">
        <f t="shared" ref="G13:G22" si="1">$C$4-$C$33</f>
        <v>942.39700000000005</v>
      </c>
      <c r="H13" s="1">
        <f t="shared" ref="H13:H22" si="2">SQRT($C$3-D13+$C$30)</f>
        <v>126.5197613023357</v>
      </c>
      <c r="I13" s="1">
        <f t="shared" ref="I13:I22" si="3">G13-0.0001*(G13)^2</f>
        <v>853.58578943910004</v>
      </c>
      <c r="O13" s="1"/>
    </row>
    <row r="14" spans="2:15" x14ac:dyDescent="0.25">
      <c r="B14">
        <f>'3i'!B14</f>
        <v>2</v>
      </c>
      <c r="C14" s="2">
        <f>'3i'!C14</f>
        <v>0.2085997559105921</v>
      </c>
      <c r="D14">
        <f>'3i'!D14</f>
        <v>100</v>
      </c>
      <c r="E14" s="2">
        <f>'3i'!E14</f>
        <v>20.859975591059211</v>
      </c>
      <c r="F14" s="15">
        <f t="shared" si="0"/>
        <v>15957.25</v>
      </c>
      <c r="G14" s="15">
        <f t="shared" si="1"/>
        <v>942.39700000000005</v>
      </c>
      <c r="H14" s="1">
        <f t="shared" si="2"/>
        <v>126.32200916704896</v>
      </c>
      <c r="I14" s="1">
        <f t="shared" si="3"/>
        <v>853.58578943910004</v>
      </c>
    </row>
    <row r="15" spans="2:15" x14ac:dyDescent="0.25">
      <c r="B15">
        <f>'3i'!B15</f>
        <v>3</v>
      </c>
      <c r="C15" s="2">
        <f>'3i'!C15</f>
        <v>7.9615573505876003E-2</v>
      </c>
      <c r="D15">
        <f>'3i'!D15</f>
        <v>150</v>
      </c>
      <c r="E15" s="2">
        <f>'3i'!E15</f>
        <v>11.942336025881401</v>
      </c>
      <c r="F15" s="15">
        <f t="shared" si="0"/>
        <v>15907.25</v>
      </c>
      <c r="G15" s="15">
        <f t="shared" si="1"/>
        <v>942.39700000000005</v>
      </c>
      <c r="H15" s="1">
        <f t="shared" si="2"/>
        <v>126.12394697280925</v>
      </c>
      <c r="I15" s="1">
        <f t="shared" si="3"/>
        <v>853.58578943910004</v>
      </c>
    </row>
    <row r="16" spans="2:15" x14ac:dyDescent="0.25">
      <c r="B16">
        <f>'3i'!B16</f>
        <v>4</v>
      </c>
      <c r="C16" s="2">
        <f>'3i'!C16</f>
        <v>2.2789957916057008E-2</v>
      </c>
      <c r="D16">
        <f>'3i'!D16</f>
        <v>200</v>
      </c>
      <c r="E16" s="2">
        <f>'3i'!E16</f>
        <v>4.5579915832114013</v>
      </c>
      <c r="F16" s="15">
        <f t="shared" si="0"/>
        <v>15857.25</v>
      </c>
      <c r="G16" s="15">
        <f t="shared" si="1"/>
        <v>942.39700000000005</v>
      </c>
      <c r="H16" s="1">
        <f t="shared" si="2"/>
        <v>125.92557325658676</v>
      </c>
      <c r="I16" s="1">
        <f t="shared" si="3"/>
        <v>853.58578943910004</v>
      </c>
    </row>
    <row r="17" spans="2:9" x14ac:dyDescent="0.25">
      <c r="B17">
        <f>'3i'!B17</f>
        <v>5</v>
      </c>
      <c r="C17" s="2">
        <f>'3i'!C17</f>
        <v>5.2189003627770526E-3</v>
      </c>
      <c r="D17">
        <f>'3i'!D17</f>
        <v>250</v>
      </c>
      <c r="E17" s="2">
        <f>'3i'!E17</f>
        <v>1.3047250906942631</v>
      </c>
      <c r="F17" s="15">
        <f t="shared" si="0"/>
        <v>15807.25</v>
      </c>
      <c r="G17" s="15">
        <f t="shared" si="1"/>
        <v>942.39700000000005</v>
      </c>
      <c r="H17" s="1">
        <f t="shared" si="2"/>
        <v>125.72688654380971</v>
      </c>
      <c r="I17" s="1">
        <f t="shared" si="3"/>
        <v>853.58578943910004</v>
      </c>
    </row>
    <row r="18" spans="2:9" x14ac:dyDescent="0.25">
      <c r="B18">
        <f>'3i'!B18</f>
        <v>6</v>
      </c>
      <c r="C18" s="2">
        <f>'3i'!C18</f>
        <v>9.9594015256328737E-4</v>
      </c>
      <c r="D18">
        <f>'3i'!D18</f>
        <v>300</v>
      </c>
      <c r="E18" s="2">
        <f>'3i'!E18</f>
        <v>0.2987820457689862</v>
      </c>
      <c r="F18" s="15">
        <f t="shared" si="0"/>
        <v>15757.25</v>
      </c>
      <c r="G18" s="15">
        <f t="shared" si="1"/>
        <v>942.39700000000005</v>
      </c>
      <c r="H18" s="1">
        <f t="shared" si="2"/>
        <v>125.52788534823647</v>
      </c>
      <c r="I18" s="1">
        <f t="shared" si="3"/>
        <v>853.58578943910004</v>
      </c>
    </row>
    <row r="19" spans="2:9" x14ac:dyDescent="0.25">
      <c r="B19">
        <f>'3i'!B19</f>
        <v>7</v>
      </c>
      <c r="C19" s="2">
        <f>'3i'!C19</f>
        <v>1.6290735352642361E-4</v>
      </c>
      <c r="D19">
        <f>'3i'!D19</f>
        <v>350</v>
      </c>
      <c r="E19" s="2">
        <f>'3i'!E19</f>
        <v>5.7017573734248261E-2</v>
      </c>
      <c r="F19" s="15">
        <f t="shared" si="0"/>
        <v>15707.25</v>
      </c>
      <c r="G19" s="15">
        <f t="shared" si="1"/>
        <v>942.39700000000005</v>
      </c>
      <c r="H19" s="1">
        <f t="shared" si="2"/>
        <v>125.32856817182585</v>
      </c>
      <c r="I19" s="1">
        <f t="shared" si="3"/>
        <v>853.58578943910004</v>
      </c>
    </row>
    <row r="20" spans="2:9" x14ac:dyDescent="0.25">
      <c r="B20">
        <f>'3i'!B20</f>
        <v>8</v>
      </c>
      <c r="C20" s="2">
        <f>'3i'!C20</f>
        <v>2.3316114973469369E-5</v>
      </c>
      <c r="D20">
        <f>'3i'!D20</f>
        <v>400</v>
      </c>
      <c r="E20" s="2">
        <f>'3i'!E20</f>
        <v>9.326445989387748E-3</v>
      </c>
      <c r="F20" s="15">
        <f t="shared" si="0"/>
        <v>15657.25</v>
      </c>
      <c r="G20" s="15">
        <f t="shared" si="1"/>
        <v>942.39700000000005</v>
      </c>
      <c r="H20" s="1">
        <f t="shared" si="2"/>
        <v>125.12893350460556</v>
      </c>
      <c r="I20" s="1">
        <f t="shared" si="3"/>
        <v>853.58578943910004</v>
      </c>
    </row>
    <row r="21" spans="2:9" x14ac:dyDescent="0.25">
      <c r="B21">
        <f>'3i'!B21</f>
        <v>9</v>
      </c>
      <c r="C21" s="2">
        <f>'3i'!C21</f>
        <v>2.9663279605135985E-6</v>
      </c>
      <c r="D21">
        <f>'3i'!D21</f>
        <v>450</v>
      </c>
      <c r="E21" s="2">
        <f>'3i'!E21</f>
        <v>1.3348475822311193E-3</v>
      </c>
      <c r="F21" s="15">
        <f t="shared" si="0"/>
        <v>15607.25</v>
      </c>
      <c r="G21" s="15">
        <f t="shared" si="1"/>
        <v>942.39700000000005</v>
      </c>
      <c r="H21" s="1">
        <f t="shared" si="2"/>
        <v>124.92897982453871</v>
      </c>
      <c r="I21" s="1">
        <f t="shared" si="3"/>
        <v>853.58578943910004</v>
      </c>
    </row>
    <row r="22" spans="2:9" x14ac:dyDescent="0.25">
      <c r="B22">
        <f>'3i'!B22</f>
        <v>10</v>
      </c>
      <c r="C22" s="2">
        <f>'3i'!C22</f>
        <v>3.3964455147880722E-7</v>
      </c>
      <c r="D22">
        <f>'3i'!D22</f>
        <v>500</v>
      </c>
      <c r="E22" s="2">
        <f>'3i'!E22</f>
        <v>1.6982227573940362E-4</v>
      </c>
      <c r="F22" s="15">
        <f t="shared" si="0"/>
        <v>15557.25</v>
      </c>
      <c r="G22" s="15">
        <f t="shared" si="1"/>
        <v>942.39700000000005</v>
      </c>
      <c r="H22" s="1">
        <f t="shared" si="2"/>
        <v>124.72870559738844</v>
      </c>
      <c r="I22" s="1">
        <f t="shared" si="3"/>
        <v>853.58578943910004</v>
      </c>
    </row>
    <row r="23" spans="2:9" x14ac:dyDescent="0.25">
      <c r="C23" t="s">
        <v>27</v>
      </c>
      <c r="E23" s="1">
        <f>SUM(E13:E22)</f>
        <v>57.249978319698364</v>
      </c>
      <c r="F23" s="1"/>
      <c r="G23" s="1"/>
      <c r="H23" s="2"/>
      <c r="I23" s="2"/>
    </row>
    <row r="24" spans="2:9" x14ac:dyDescent="0.25">
      <c r="H24" s="2"/>
      <c r="I24" s="2"/>
    </row>
    <row r="25" spans="2:9" x14ac:dyDescent="0.25">
      <c r="C25" t="s">
        <v>22</v>
      </c>
      <c r="D25" t="s">
        <v>21</v>
      </c>
    </row>
    <row r="26" spans="2:9" x14ac:dyDescent="0.25">
      <c r="B26" t="s">
        <v>53</v>
      </c>
      <c r="C26" s="1">
        <f>'3ii'!C26</f>
        <v>126.49110146717226</v>
      </c>
      <c r="D26" s="1">
        <f>'3ii'!D26</f>
        <v>853.58597715338885</v>
      </c>
    </row>
    <row r="27" spans="2:9" x14ac:dyDescent="0.25">
      <c r="B27" t="s">
        <v>52</v>
      </c>
      <c r="C27" s="1">
        <f>SUMPRODUCT($C$12:$C$22,H12:H22)</f>
        <v>126.49092446872702</v>
      </c>
      <c r="D27" s="1">
        <f>SUMPRODUCT($C$12:$C$22,I12:I22)</f>
        <v>853.58575610599974</v>
      </c>
      <c r="E27" s="8" t="s">
        <v>1</v>
      </c>
    </row>
    <row r="28" spans="2:9" x14ac:dyDescent="0.25">
      <c r="B28" t="s">
        <v>38</v>
      </c>
      <c r="C28" s="1">
        <f>C26-C27</f>
        <v>1.7699844524088348E-4</v>
      </c>
      <c r="D28" s="1">
        <f>D26-D27</f>
        <v>2.2104738911821187E-4</v>
      </c>
    </row>
    <row r="29" spans="2:9" x14ac:dyDescent="0.25">
      <c r="C29" s="2"/>
      <c r="D29" s="2"/>
    </row>
    <row r="30" spans="2:9" x14ac:dyDescent="0.25">
      <c r="B30" t="s">
        <v>55</v>
      </c>
      <c r="C30" s="7">
        <v>57.25</v>
      </c>
      <c r="D30" s="8" t="s">
        <v>1</v>
      </c>
      <c r="E30" t="s">
        <v>36</v>
      </c>
      <c r="F30" s="24"/>
    </row>
    <row r="33" spans="2:5" x14ac:dyDescent="0.25">
      <c r="B33" t="s">
        <v>56</v>
      </c>
      <c r="C33" s="7">
        <v>57.603000000000002</v>
      </c>
      <c r="D33" s="8" t="s">
        <v>1</v>
      </c>
      <c r="E33" t="s">
        <v>36</v>
      </c>
    </row>
  </sheetData>
  <mergeCells count="2">
    <mergeCell ref="F10:G10"/>
    <mergeCell ref="H10:I10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9C9D-7214-42F4-A0EE-677D339F49BE}">
  <sheetPr>
    <tabColor theme="9" tint="0.79998168889431442"/>
  </sheetPr>
  <dimension ref="B2:O17"/>
  <sheetViews>
    <sheetView workbookViewId="0"/>
  </sheetViews>
  <sheetFormatPr defaultRowHeight="15" x14ac:dyDescent="0.25"/>
  <sheetData>
    <row r="2" spans="2:15" x14ac:dyDescent="0.25">
      <c r="B2" t="s">
        <v>34</v>
      </c>
    </row>
    <row r="3" spans="2:15" x14ac:dyDescent="0.25">
      <c r="B3" s="1">
        <f>'3iii'!C30</f>
        <v>57.25</v>
      </c>
    </row>
    <row r="5" spans="2:15" x14ac:dyDescent="0.25">
      <c r="B5" t="s">
        <v>35</v>
      </c>
    </row>
    <row r="6" spans="2:15" x14ac:dyDescent="0.25">
      <c r="B6" s="1">
        <f>'3iii'!C33</f>
        <v>57.603000000000002</v>
      </c>
    </row>
    <row r="8" spans="2:15" x14ac:dyDescent="0.25">
      <c r="B8" s="1" t="s">
        <v>2</v>
      </c>
    </row>
    <row r="9" spans="2:15" x14ac:dyDescent="0.25">
      <c r="B9" s="6" t="s">
        <v>47</v>
      </c>
      <c r="C9" s="7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8" t="s">
        <v>0</v>
      </c>
    </row>
    <row r="10" spans="2:15" x14ac:dyDescent="0.25">
      <c r="B10" s="6" t="s">
        <v>188</v>
      </c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8" t="s">
        <v>0</v>
      </c>
    </row>
    <row r="11" spans="2:15" x14ac:dyDescent="0.25">
      <c r="B11" s="6" t="s">
        <v>57</v>
      </c>
      <c r="C11" s="7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8" t="s">
        <v>0</v>
      </c>
    </row>
    <row r="12" spans="2:15" x14ac:dyDescent="0.25">
      <c r="B12" s="6"/>
      <c r="C12" s="7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2:15" x14ac:dyDescent="0.25">
      <c r="B13" s="6"/>
      <c r="C13" s="7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8" t="s">
        <v>33</v>
      </c>
    </row>
    <row r="14" spans="2:15" x14ac:dyDescent="0.25">
      <c r="B14" s="6"/>
      <c r="C14" s="7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2:15" x14ac:dyDescent="0.25">
      <c r="B15" s="6"/>
      <c r="C15" s="7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2:15" x14ac:dyDescent="0.25"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2:2" x14ac:dyDescent="0.25">
      <c r="B1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E7FAEBF9D39E4BB70877A4534DF4D4" ma:contentTypeVersion="14" ma:contentTypeDescription="Create a new document." ma:contentTypeScope="" ma:versionID="d17b23e7f82f591316f54a22cc267329">
  <xsd:schema xmlns:xsd="http://www.w3.org/2001/XMLSchema" xmlns:xs="http://www.w3.org/2001/XMLSchema" xmlns:p="http://schemas.microsoft.com/office/2006/metadata/properties" xmlns:ns2="1bbcdec9-fc60-4578-bac0-1072297c933a" xmlns:ns3="e0a82e4c-fab7-409b-9177-d9582bcd9bf0" targetNamespace="http://schemas.microsoft.com/office/2006/metadata/properties" ma:root="true" ma:fieldsID="6816aed2f4dd212ae2d51d22c9f98e20" ns2:_="" ns3:_="">
    <xsd:import namespace="1bbcdec9-fc60-4578-bac0-1072297c933a"/>
    <xsd:import namespace="e0a82e4c-fab7-409b-9177-d9582bcd9b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cdec9-fc60-4578-bac0-1072297c9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c5664ec-2097-44f6-aef9-a995d752de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82e4c-fab7-409b-9177-d9582bcd9bf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7052dd5-5980-458a-a238-fb2113b35011}" ma:internalName="TaxCatchAll" ma:showField="CatchAllData" ma:web="e0a82e4c-fab7-409b-9177-d9582bcd9b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a82e4c-fab7-409b-9177-d9582bcd9bf0" xsi:nil="true"/>
    <lcf76f155ced4ddcb4097134ff3c332f xmlns="1bbcdec9-fc60-4578-bac0-1072297c93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30C353-81BF-4038-894A-B0CA3889F08B}"/>
</file>

<file path=customXml/itemProps2.xml><?xml version="1.0" encoding="utf-8"?>
<ds:datastoreItem xmlns:ds="http://schemas.openxmlformats.org/officeDocument/2006/customXml" ds:itemID="{FB500B9F-7DFE-488E-ABC7-DFDFB641E5E0}"/>
</file>

<file path=customXml/itemProps3.xml><?xml version="1.0" encoding="utf-8"?>
<ds:datastoreItem xmlns:ds="http://schemas.openxmlformats.org/officeDocument/2006/customXml" ds:itemID="{8E3EB0F7-F83A-49CF-A41C-91998AF92F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B-S calculator</vt:lpstr>
      <vt:lpstr>Q1 Data</vt:lpstr>
      <vt:lpstr>1i</vt:lpstr>
      <vt:lpstr>1ii</vt:lpstr>
      <vt:lpstr>1iii</vt:lpstr>
      <vt:lpstr>1iv</vt:lpstr>
      <vt:lpstr>1v</vt:lpstr>
      <vt:lpstr>1vi</vt:lpstr>
      <vt:lpstr>1vii</vt:lpstr>
      <vt:lpstr>Q2 Data</vt:lpstr>
      <vt:lpstr>2i</vt:lpstr>
      <vt:lpstr>2ii</vt:lpstr>
      <vt:lpstr>2iii</vt:lpstr>
      <vt:lpstr>2iv</vt:lpstr>
      <vt:lpstr>2v</vt:lpstr>
      <vt:lpstr>2vi</vt:lpstr>
      <vt:lpstr>2vii</vt:lpstr>
      <vt:lpstr>Q3 Data</vt:lpstr>
      <vt:lpstr>3i</vt:lpstr>
      <vt:lpstr>3ii</vt:lpstr>
      <vt:lpstr>3iii</vt:lpstr>
      <vt:lpstr>3iv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Male</dc:creator>
  <cp:lastModifiedBy>Simon Hubbard</cp:lastModifiedBy>
  <dcterms:created xsi:type="dcterms:W3CDTF">2022-08-11T19:22:41Z</dcterms:created>
  <dcterms:modified xsi:type="dcterms:W3CDTF">2025-06-10T09:45:53Z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0x01010098E7FAEBF9D39E4BB70877A4534DF4D4</vt:lpwstr>
  </property>
</Properties>
</file>